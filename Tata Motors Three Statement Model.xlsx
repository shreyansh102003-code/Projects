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rey\OneDrive\Desktop\Financial Modelling\"/>
    </mc:Choice>
  </mc:AlternateContent>
  <xr:revisionPtr revIDLastSave="0" documentId="13_ncr:1_{57D13A16-272F-4A2F-AC58-ABDF27E5B6FB}" xr6:coauthVersionLast="47" xr6:coauthVersionMax="47" xr10:uidLastSave="{00000000-0000-0000-0000-000000000000}"/>
  <bookViews>
    <workbookView xWindow="-110" yWindow="-110" windowWidth="19420" windowHeight="10300" tabRatio="599" activeTab="5" xr2:uid="{00000000-000D-0000-FFFF-FFFF00000000}"/>
  </bookViews>
  <sheets>
    <sheet name="Financials&gt;" sheetId="7" r:id="rId1"/>
    <sheet name="Historical FS" sheetId="8" r:id="rId2"/>
    <sheet name="Ratio Analysis" sheetId="11" r:id="rId3"/>
    <sheet name="Forecast" sheetId="16" r:id="rId4"/>
    <sheet name="Data&gt;" sheetId="9" r:id="rId5"/>
    <sheet name="Data Sheet" sheetId="6" r:id="rId6"/>
    <sheet name="NOTES" sheetId="18" state="hidden" r:id="rId7"/>
    <sheet name="RATIO and Forecast" sheetId="20" state="hidden" r:id="rId8"/>
    <sheet name="Comp Forecast Sheet" sheetId="15" state="hidden" r:id="rId9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8" l="1"/>
  <c r="L3" i="16" l="1"/>
  <c r="L6" i="16"/>
  <c r="L7" i="16" s="1"/>
  <c r="L8" i="16" s="1"/>
  <c r="L9" i="16" s="1"/>
  <c r="L10" i="16" s="1"/>
  <c r="L11" i="16" s="1"/>
  <c r="L12" i="16" s="1"/>
  <c r="L13" i="16" s="1"/>
  <c r="L14" i="16" s="1"/>
  <c r="L15" i="16" s="1"/>
  <c r="G6" i="16"/>
  <c r="G7" i="16" s="1"/>
  <c r="G8" i="16" s="1"/>
  <c r="G9" i="16" s="1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G3" i="16"/>
  <c r="B3" i="16"/>
  <c r="C5" i="16"/>
  <c r="B6" i="16"/>
  <c r="B7" i="16" s="1"/>
  <c r="B8" i="16" s="1"/>
  <c r="B9" i="16" s="1"/>
  <c r="B10" i="16" s="1"/>
  <c r="B11" i="16" s="1"/>
  <c r="B12" i="16" s="1"/>
  <c r="B13" i="16" s="1"/>
  <c r="B14" i="16" s="1"/>
  <c r="B15" i="16" s="1"/>
  <c r="E16" i="15"/>
  <c r="E15" i="15"/>
  <c r="E14" i="15"/>
  <c r="E13" i="15"/>
  <c r="E12" i="15"/>
  <c r="E11" i="15"/>
  <c r="E10" i="15"/>
  <c r="E9" i="15"/>
  <c r="E8" i="15"/>
  <c r="E7" i="15"/>
  <c r="E6" i="15"/>
  <c r="C6" i="15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D17" i="15" s="1"/>
  <c r="C6" i="16" l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H5" i="16"/>
  <c r="B16" i="16"/>
  <c r="B17" i="16" s="1"/>
  <c r="B18" i="16" s="1"/>
  <c r="B19" i="16" s="1"/>
  <c r="L16" i="16"/>
  <c r="C26" i="15"/>
  <c r="C18" i="15"/>
  <c r="D26" i="15"/>
  <c r="E26" i="15" s="1"/>
  <c r="B18" i="15"/>
  <c r="B26" i="15"/>
  <c r="E17" i="15"/>
  <c r="H6" i="16" l="1"/>
  <c r="H7" i="16" s="1"/>
  <c r="H8" i="16" s="1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M5" i="16"/>
  <c r="M6" i="16" s="1"/>
  <c r="M7" i="16" s="1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L17" i="16"/>
  <c r="B19" i="15"/>
  <c r="D18" i="15"/>
  <c r="E18" i="15" s="1"/>
  <c r="B27" i="15"/>
  <c r="D27" i="15"/>
  <c r="E27" i="15" s="1"/>
  <c r="C27" i="15"/>
  <c r="C19" i="15"/>
  <c r="L18" i="16" l="1"/>
  <c r="C28" i="15"/>
  <c r="C20" i="15"/>
  <c r="B20" i="15"/>
  <c r="D19" i="15"/>
  <c r="E19" i="15" s="1"/>
  <c r="D28" i="15"/>
  <c r="E28" i="15" s="1"/>
  <c r="B28" i="15"/>
  <c r="L19" i="16" l="1"/>
  <c r="D29" i="15"/>
  <c r="E29" i="15" s="1"/>
  <c r="B29" i="15"/>
  <c r="D20" i="15"/>
  <c r="E20" i="15" s="1"/>
  <c r="B21" i="15"/>
  <c r="C21" i="15"/>
  <c r="C30" i="15" s="1"/>
  <c r="C29" i="15"/>
  <c r="B2" i="11"/>
  <c r="B2" i="8"/>
  <c r="C7" i="8"/>
  <c r="D25" i="8"/>
  <c r="E25" i="8"/>
  <c r="F25" i="8"/>
  <c r="G25" i="8"/>
  <c r="H25" i="8"/>
  <c r="I25" i="8"/>
  <c r="J25" i="8"/>
  <c r="K25" i="8"/>
  <c r="L25" i="8"/>
  <c r="M25" i="8"/>
  <c r="C25" i="8"/>
  <c r="D10" i="8"/>
  <c r="E10" i="8"/>
  <c r="F10" i="8"/>
  <c r="G10" i="8"/>
  <c r="H10" i="8"/>
  <c r="I10" i="8"/>
  <c r="J10" i="8"/>
  <c r="K10" i="8"/>
  <c r="L10" i="8"/>
  <c r="M10" i="8"/>
  <c r="B30" i="15" l="1"/>
  <c r="D30" i="15"/>
  <c r="E30" i="15" s="1"/>
  <c r="D21" i="15"/>
  <c r="E21" i="15" s="1"/>
  <c r="M7" i="8"/>
  <c r="B3" i="11"/>
  <c r="L4" i="11"/>
  <c r="K4" i="11"/>
  <c r="J4" i="11"/>
  <c r="I4" i="11"/>
  <c r="H4" i="11"/>
  <c r="G4" i="11"/>
  <c r="F4" i="11"/>
  <c r="E4" i="11"/>
  <c r="D4" i="11"/>
  <c r="C4" i="11"/>
  <c r="G77" i="8"/>
  <c r="H77" i="8"/>
  <c r="D71" i="8"/>
  <c r="D77" i="8" s="1"/>
  <c r="E71" i="8"/>
  <c r="F71" i="8"/>
  <c r="G71" i="8"/>
  <c r="H71" i="8"/>
  <c r="I71" i="8"/>
  <c r="J71" i="8"/>
  <c r="K71" i="8"/>
  <c r="L71" i="8"/>
  <c r="L77" i="8" s="1"/>
  <c r="D73" i="8"/>
  <c r="E73" i="8"/>
  <c r="F73" i="8"/>
  <c r="G73" i="8"/>
  <c r="H73" i="8"/>
  <c r="I73" i="8"/>
  <c r="J73" i="8"/>
  <c r="K73" i="8"/>
  <c r="L73" i="8"/>
  <c r="D75" i="8"/>
  <c r="E75" i="8"/>
  <c r="F75" i="8"/>
  <c r="G75" i="8"/>
  <c r="H75" i="8"/>
  <c r="I75" i="8"/>
  <c r="J75" i="8"/>
  <c r="K75" i="8"/>
  <c r="L75" i="8"/>
  <c r="C75" i="8"/>
  <c r="C73" i="8"/>
  <c r="C71" i="8"/>
  <c r="C77" i="8" s="1"/>
  <c r="D57" i="8"/>
  <c r="E57" i="8"/>
  <c r="F57" i="8"/>
  <c r="G57" i="8"/>
  <c r="H57" i="8"/>
  <c r="I57" i="8"/>
  <c r="J57" i="8"/>
  <c r="K57" i="8"/>
  <c r="L57" i="8"/>
  <c r="C57" i="8"/>
  <c r="H63" i="8"/>
  <c r="D60" i="8"/>
  <c r="E60" i="8"/>
  <c r="F60" i="8"/>
  <c r="G60" i="8"/>
  <c r="H60" i="8"/>
  <c r="I60" i="8"/>
  <c r="I63" i="8" s="1"/>
  <c r="J60" i="8"/>
  <c r="J63" i="8" s="1"/>
  <c r="K60" i="8"/>
  <c r="L60" i="8"/>
  <c r="D61" i="8"/>
  <c r="E61" i="8"/>
  <c r="E63" i="8" s="1"/>
  <c r="F61" i="8"/>
  <c r="G61" i="8"/>
  <c r="H61" i="8"/>
  <c r="I61" i="8"/>
  <c r="J61" i="8"/>
  <c r="K61" i="8"/>
  <c r="L61" i="8"/>
  <c r="D62" i="8"/>
  <c r="E62" i="8"/>
  <c r="F62" i="8"/>
  <c r="G62" i="8"/>
  <c r="H62" i="8"/>
  <c r="I62" i="8"/>
  <c r="J62" i="8"/>
  <c r="K62" i="8"/>
  <c r="L62" i="8"/>
  <c r="C61" i="8"/>
  <c r="C30" i="11" s="1"/>
  <c r="C62" i="8"/>
  <c r="C60" i="8"/>
  <c r="D54" i="8"/>
  <c r="D58" i="8" s="1"/>
  <c r="E54" i="8"/>
  <c r="F54" i="8"/>
  <c r="G54" i="8"/>
  <c r="H54" i="8"/>
  <c r="I54" i="8"/>
  <c r="J54" i="8"/>
  <c r="K54" i="8"/>
  <c r="K58" i="8" s="1"/>
  <c r="L54" i="8"/>
  <c r="L58" i="8" s="1"/>
  <c r="D55" i="8"/>
  <c r="E55" i="8"/>
  <c r="F55" i="8"/>
  <c r="G55" i="8"/>
  <c r="G58" i="8" s="1"/>
  <c r="H55" i="8"/>
  <c r="I55" i="8"/>
  <c r="J55" i="8"/>
  <c r="K55" i="8"/>
  <c r="L55" i="8"/>
  <c r="D56" i="8"/>
  <c r="E56" i="8"/>
  <c r="F56" i="8"/>
  <c r="G56" i="8"/>
  <c r="H56" i="8"/>
  <c r="I56" i="8"/>
  <c r="J56" i="8"/>
  <c r="K56" i="8"/>
  <c r="L56" i="8"/>
  <c r="C55" i="8"/>
  <c r="C56" i="8"/>
  <c r="C54" i="8"/>
  <c r="D52" i="8"/>
  <c r="E52" i="8"/>
  <c r="F52" i="8"/>
  <c r="G52" i="8"/>
  <c r="H52" i="8"/>
  <c r="I52" i="8"/>
  <c r="J52" i="8"/>
  <c r="K52" i="8"/>
  <c r="L52" i="8"/>
  <c r="D48" i="8"/>
  <c r="E48" i="8"/>
  <c r="F48" i="8"/>
  <c r="G48" i="8"/>
  <c r="H48" i="8"/>
  <c r="I48" i="8"/>
  <c r="J48" i="8"/>
  <c r="K48" i="8"/>
  <c r="L48" i="8"/>
  <c r="D49" i="8"/>
  <c r="E49" i="8"/>
  <c r="F49" i="8"/>
  <c r="G49" i="8"/>
  <c r="H49" i="8"/>
  <c r="I49" i="8"/>
  <c r="J49" i="8"/>
  <c r="K49" i="8"/>
  <c r="L49" i="8"/>
  <c r="D50" i="8"/>
  <c r="E50" i="8"/>
  <c r="F50" i="8"/>
  <c r="G50" i="8"/>
  <c r="H50" i="8"/>
  <c r="I50" i="8"/>
  <c r="J50" i="8"/>
  <c r="K50" i="8"/>
  <c r="L50" i="8"/>
  <c r="D51" i="8"/>
  <c r="E51" i="8"/>
  <c r="F51" i="8"/>
  <c r="G51" i="8"/>
  <c r="H51" i="8"/>
  <c r="I51" i="8"/>
  <c r="J51" i="8"/>
  <c r="K51" i="8"/>
  <c r="L51" i="8"/>
  <c r="C49" i="8"/>
  <c r="C50" i="8"/>
  <c r="C51" i="8"/>
  <c r="C29" i="11" s="1"/>
  <c r="C52" i="8"/>
  <c r="C48" i="8"/>
  <c r="C32" i="11" s="1"/>
  <c r="M42" i="8"/>
  <c r="D37" i="8"/>
  <c r="D42" i="8" s="1"/>
  <c r="E37" i="8"/>
  <c r="E42" i="8" s="1"/>
  <c r="E10" i="11" s="1"/>
  <c r="F37" i="8"/>
  <c r="F42" i="8" s="1"/>
  <c r="G37" i="8"/>
  <c r="G42" i="8" s="1"/>
  <c r="G10" i="11" s="1"/>
  <c r="H37" i="8"/>
  <c r="H42" i="8" s="1"/>
  <c r="I37" i="8"/>
  <c r="I42" i="8" s="1"/>
  <c r="I10" i="11" s="1"/>
  <c r="J37" i="8"/>
  <c r="J42" i="8" s="1"/>
  <c r="K37" i="8"/>
  <c r="K42" i="8" s="1"/>
  <c r="K10" i="11" s="1"/>
  <c r="L37" i="8"/>
  <c r="L42" i="8" s="1"/>
  <c r="C37" i="8"/>
  <c r="C42" i="8" s="1"/>
  <c r="D7" i="8"/>
  <c r="E7" i="8"/>
  <c r="F7" i="8"/>
  <c r="G7" i="8"/>
  <c r="H7" i="8"/>
  <c r="I7" i="8"/>
  <c r="J7" i="8"/>
  <c r="K7" i="8"/>
  <c r="L7" i="8"/>
  <c r="M31" i="8"/>
  <c r="D31" i="8"/>
  <c r="E31" i="8"/>
  <c r="F31" i="8"/>
  <c r="G31" i="8"/>
  <c r="H31" i="8"/>
  <c r="I31" i="8"/>
  <c r="J31" i="8"/>
  <c r="K31" i="8"/>
  <c r="L31" i="8"/>
  <c r="C31" i="8"/>
  <c r="C16" i="8"/>
  <c r="D16" i="8"/>
  <c r="E16" i="8"/>
  <c r="C22" i="8"/>
  <c r="C23" i="8" s="1"/>
  <c r="D22" i="8"/>
  <c r="E22" i="8"/>
  <c r="E23" i="8" s="1"/>
  <c r="D23" i="8"/>
  <c r="D26" i="8"/>
  <c r="D19" i="11" s="1"/>
  <c r="E26" i="8"/>
  <c r="E19" i="11" s="1"/>
  <c r="D8" i="8"/>
  <c r="D6" i="11" s="1"/>
  <c r="D13" i="8"/>
  <c r="D14" i="8" s="1"/>
  <c r="D12" i="11" s="1"/>
  <c r="C4" i="8"/>
  <c r="E4" i="8"/>
  <c r="D4" i="8"/>
  <c r="I4" i="8"/>
  <c r="J4" i="8"/>
  <c r="K4" i="8"/>
  <c r="L4" i="8"/>
  <c r="M22" i="8"/>
  <c r="G22" i="8"/>
  <c r="H22" i="8"/>
  <c r="I22" i="8"/>
  <c r="J22" i="8"/>
  <c r="K22" i="8"/>
  <c r="L22" i="8"/>
  <c r="F22" i="8"/>
  <c r="G16" i="8"/>
  <c r="H16" i="8"/>
  <c r="I16" i="8"/>
  <c r="J16" i="8"/>
  <c r="K16" i="8"/>
  <c r="L16" i="8"/>
  <c r="M16" i="8"/>
  <c r="F16" i="8"/>
  <c r="G4" i="8"/>
  <c r="H4" i="8"/>
  <c r="F4" i="8"/>
  <c r="E1" i="6"/>
  <c r="C37" i="11" l="1"/>
  <c r="C36" i="11"/>
  <c r="O29" i="11"/>
  <c r="F42" i="11"/>
  <c r="F40" i="11"/>
  <c r="H32" i="11"/>
  <c r="H28" i="11"/>
  <c r="H35" i="11" s="1"/>
  <c r="H30" i="11"/>
  <c r="H37" i="11" s="1"/>
  <c r="H31" i="11"/>
  <c r="H29" i="11"/>
  <c r="H36" i="11" s="1"/>
  <c r="C63" i="8"/>
  <c r="C28" i="11"/>
  <c r="E40" i="11"/>
  <c r="E42" i="11"/>
  <c r="I32" i="11"/>
  <c r="I28" i="11"/>
  <c r="I35" i="11" s="1"/>
  <c r="I30" i="11"/>
  <c r="I37" i="11" s="1"/>
  <c r="I31" i="11"/>
  <c r="I29" i="11"/>
  <c r="I36" i="11" s="1"/>
  <c r="F30" i="11"/>
  <c r="F37" i="11" s="1"/>
  <c r="F31" i="11"/>
  <c r="F29" i="11"/>
  <c r="F36" i="11" s="1"/>
  <c r="F32" i="11"/>
  <c r="F28" i="11"/>
  <c r="F35" i="11" s="1"/>
  <c r="F38" i="11" s="1"/>
  <c r="H10" i="11"/>
  <c r="C58" i="8"/>
  <c r="I58" i="8"/>
  <c r="G63" i="8"/>
  <c r="K42" i="11"/>
  <c r="K40" i="11"/>
  <c r="E77" i="8"/>
  <c r="C31" i="11"/>
  <c r="F77" i="8"/>
  <c r="F63" i="8"/>
  <c r="J40" i="11"/>
  <c r="J42" i="11"/>
  <c r="E31" i="11"/>
  <c r="E30" i="11"/>
  <c r="E37" i="11" s="1"/>
  <c r="E32" i="11"/>
  <c r="N32" i="11" s="1"/>
  <c r="E28" i="11"/>
  <c r="E35" i="11" s="1"/>
  <c r="E29" i="11"/>
  <c r="E36" i="11" s="1"/>
  <c r="F8" i="8"/>
  <c r="F6" i="11" s="1"/>
  <c r="L28" i="11"/>
  <c r="L35" i="11" s="1"/>
  <c r="L29" i="11"/>
  <c r="L36" i="11" s="1"/>
  <c r="L32" i="11"/>
  <c r="L31" i="11"/>
  <c r="L30" i="11"/>
  <c r="L37" i="11" s="1"/>
  <c r="D29" i="11"/>
  <c r="D36" i="11" s="1"/>
  <c r="D31" i="11"/>
  <c r="D32" i="11"/>
  <c r="O32" i="11" s="1"/>
  <c r="D28" i="11"/>
  <c r="D35" i="11" s="1"/>
  <c r="D38" i="11" s="1"/>
  <c r="D30" i="11"/>
  <c r="D37" i="11" s="1"/>
  <c r="F10" i="11"/>
  <c r="C42" i="11"/>
  <c r="C40" i="11"/>
  <c r="I40" i="11"/>
  <c r="I42" i="11"/>
  <c r="K77" i="8"/>
  <c r="G28" i="11"/>
  <c r="G35" i="11" s="1"/>
  <c r="G38" i="11" s="1"/>
  <c r="G30" i="11"/>
  <c r="G37" i="11" s="1"/>
  <c r="G31" i="11"/>
  <c r="G29" i="11"/>
  <c r="G36" i="11" s="1"/>
  <c r="G32" i="11"/>
  <c r="L40" i="11"/>
  <c r="L42" i="11"/>
  <c r="F58" i="8"/>
  <c r="F65" i="8" s="1"/>
  <c r="L63" i="8"/>
  <c r="D63" i="8"/>
  <c r="D65" i="8" s="1"/>
  <c r="J58" i="8"/>
  <c r="H40" i="11"/>
  <c r="H42" i="11"/>
  <c r="J77" i="8"/>
  <c r="D5" i="16" a="1"/>
  <c r="D40" i="11"/>
  <c r="D42" i="11"/>
  <c r="K30" i="11"/>
  <c r="K37" i="11" s="1"/>
  <c r="K29" i="11"/>
  <c r="K36" i="11" s="1"/>
  <c r="K32" i="11"/>
  <c r="K28" i="11"/>
  <c r="K35" i="11" s="1"/>
  <c r="K38" i="11" s="1"/>
  <c r="K31" i="11"/>
  <c r="E11" i="8"/>
  <c r="K8" i="8"/>
  <c r="K6" i="11" s="1"/>
  <c r="J29" i="11"/>
  <c r="J36" i="11" s="1"/>
  <c r="J31" i="11"/>
  <c r="J32" i="11"/>
  <c r="J28" i="11"/>
  <c r="J35" i="11" s="1"/>
  <c r="J38" i="11" s="1"/>
  <c r="J30" i="11"/>
  <c r="J37" i="11" s="1"/>
  <c r="K63" i="8"/>
  <c r="K65" i="8" s="1"/>
  <c r="G40" i="11"/>
  <c r="G42" i="11"/>
  <c r="I77" i="8"/>
  <c r="L10" i="11"/>
  <c r="D10" i="11"/>
  <c r="J10" i="11"/>
  <c r="H58" i="8"/>
  <c r="D11" i="8"/>
  <c r="C26" i="8"/>
  <c r="C19" i="11" s="1"/>
  <c r="E58" i="8"/>
  <c r="E65" i="8" s="1"/>
  <c r="E67" i="8" s="1"/>
  <c r="C17" i="8"/>
  <c r="C18" i="11" s="1"/>
  <c r="L65" i="8"/>
  <c r="L67" i="8" s="1"/>
  <c r="J65" i="8"/>
  <c r="J67" i="8" s="1"/>
  <c r="C65" i="8"/>
  <c r="C67" i="8" s="1"/>
  <c r="G65" i="8"/>
  <c r="G67" i="8" s="1"/>
  <c r="I65" i="8"/>
  <c r="I67" i="8" s="1"/>
  <c r="H65" i="8"/>
  <c r="H67" i="8" s="1"/>
  <c r="E8" i="8"/>
  <c r="E6" i="11" s="1"/>
  <c r="N6" i="11" s="1"/>
  <c r="D17" i="8"/>
  <c r="D18" i="11" s="1"/>
  <c r="C13" i="8"/>
  <c r="E13" i="8"/>
  <c r="E14" i="8" s="1"/>
  <c r="E12" i="11" s="1"/>
  <c r="C11" i="8"/>
  <c r="D19" i="8"/>
  <c r="E17" i="8"/>
  <c r="E18" i="11" s="1"/>
  <c r="I13" i="8"/>
  <c r="I19" i="8" s="1"/>
  <c r="H11" i="8"/>
  <c r="G13" i="8"/>
  <c r="G19" i="8" s="1"/>
  <c r="L8" i="8"/>
  <c r="L6" i="11" s="1"/>
  <c r="H17" i="8"/>
  <c r="H18" i="11" s="1"/>
  <c r="K11" i="8"/>
  <c r="J11" i="8"/>
  <c r="J8" i="8"/>
  <c r="J6" i="11" s="1"/>
  <c r="K23" i="8"/>
  <c r="K26" i="8"/>
  <c r="K19" i="11" s="1"/>
  <c r="J23" i="8"/>
  <c r="J26" i="8"/>
  <c r="J19" i="11" s="1"/>
  <c r="H13" i="8"/>
  <c r="H19" i="8" s="1"/>
  <c r="F11" i="8"/>
  <c r="I17" i="8"/>
  <c r="I18" i="11" s="1"/>
  <c r="H23" i="8"/>
  <c r="G23" i="8"/>
  <c r="M23" i="8"/>
  <c r="M26" i="8"/>
  <c r="I11" i="8"/>
  <c r="G17" i="8"/>
  <c r="G18" i="11" s="1"/>
  <c r="I26" i="8"/>
  <c r="I19" i="11" s="1"/>
  <c r="F17" i="8"/>
  <c r="F18" i="11" s="1"/>
  <c r="F23" i="8"/>
  <c r="H26" i="8"/>
  <c r="H19" i="11" s="1"/>
  <c r="G11" i="8"/>
  <c r="M17" i="8"/>
  <c r="L23" i="8"/>
  <c r="G26" i="8"/>
  <c r="G19" i="11" s="1"/>
  <c r="L17" i="8"/>
  <c r="L18" i="11" s="1"/>
  <c r="K13" i="8"/>
  <c r="K17" i="8"/>
  <c r="K18" i="11" s="1"/>
  <c r="F26" i="8"/>
  <c r="F19" i="11" s="1"/>
  <c r="F13" i="8"/>
  <c r="L11" i="8"/>
  <c r="L13" i="8"/>
  <c r="J17" i="8"/>
  <c r="J18" i="11" s="1"/>
  <c r="I23" i="8"/>
  <c r="L26" i="8"/>
  <c r="L19" i="11" s="1"/>
  <c r="I8" i="8"/>
  <c r="I6" i="11" s="1"/>
  <c r="J13" i="8"/>
  <c r="H8" i="8"/>
  <c r="H6" i="11" s="1"/>
  <c r="G8" i="8"/>
  <c r="G6" i="11" s="1"/>
  <c r="M8" i="8"/>
  <c r="M13" i="8"/>
  <c r="M11" i="8"/>
  <c r="B3" i="8"/>
  <c r="C14" i="8" l="1"/>
  <c r="C12" i="11" s="1"/>
  <c r="C19" i="8"/>
  <c r="K67" i="8"/>
  <c r="K41" i="11"/>
  <c r="D67" i="8"/>
  <c r="D41" i="11"/>
  <c r="F67" i="8"/>
  <c r="F41" i="11"/>
  <c r="N42" i="11"/>
  <c r="O42" i="11"/>
  <c r="O31" i="11"/>
  <c r="N31" i="11"/>
  <c r="I26" i="11"/>
  <c r="I22" i="11"/>
  <c r="C41" i="11"/>
  <c r="I38" i="11"/>
  <c r="D5" i="16"/>
  <c r="D10" i="16"/>
  <c r="E10" i="16" s="1"/>
  <c r="D12" i="16"/>
  <c r="E12" i="16" s="1"/>
  <c r="D11" i="16"/>
  <c r="D7" i="16"/>
  <c r="E7" i="16" s="1"/>
  <c r="D9" i="16"/>
  <c r="E9" i="16" s="1"/>
  <c r="D8" i="16"/>
  <c r="D14" i="16"/>
  <c r="D6" i="16"/>
  <c r="D13" i="16"/>
  <c r="D14" i="11"/>
  <c r="D20" i="11" s="1"/>
  <c r="D22" i="11"/>
  <c r="D26" i="11"/>
  <c r="N29" i="11"/>
  <c r="N19" i="11"/>
  <c r="O19" i="11"/>
  <c r="L38" i="11"/>
  <c r="J41" i="11"/>
  <c r="E41" i="11"/>
  <c r="O36" i="11"/>
  <c r="N36" i="11"/>
  <c r="O6" i="11"/>
  <c r="H41" i="11"/>
  <c r="L41" i="11"/>
  <c r="I41" i="11"/>
  <c r="H38" i="11"/>
  <c r="O30" i="11"/>
  <c r="N10" i="11"/>
  <c r="O10" i="11"/>
  <c r="O18" i="11"/>
  <c r="N18" i="11"/>
  <c r="C35" i="11"/>
  <c r="N28" i="11"/>
  <c r="O28" i="11"/>
  <c r="N30" i="11"/>
  <c r="H14" i="11"/>
  <c r="H20" i="11" s="1"/>
  <c r="H22" i="11"/>
  <c r="H26" i="11"/>
  <c r="G14" i="11"/>
  <c r="G20" i="11" s="1"/>
  <c r="G22" i="11"/>
  <c r="G26" i="11"/>
  <c r="G41" i="11"/>
  <c r="N40" i="11"/>
  <c r="O40" i="11"/>
  <c r="E38" i="11"/>
  <c r="O37" i="11"/>
  <c r="N37" i="11"/>
  <c r="I7" i="11"/>
  <c r="I14" i="11"/>
  <c r="I20" i="11" s="1"/>
  <c r="G20" i="8"/>
  <c r="G13" i="11" s="1"/>
  <c r="H7" i="11"/>
  <c r="E19" i="8"/>
  <c r="G28" i="8"/>
  <c r="G14" i="8"/>
  <c r="G12" i="11" s="1"/>
  <c r="N12" i="11" s="1"/>
  <c r="D28" i="8"/>
  <c r="D20" i="8"/>
  <c r="D13" i="11" s="1"/>
  <c r="I14" i="8"/>
  <c r="I12" i="11" s="1"/>
  <c r="H14" i="8"/>
  <c r="H12" i="11" s="1"/>
  <c r="F19" i="8"/>
  <c r="F14" i="8"/>
  <c r="F12" i="11" s="1"/>
  <c r="I20" i="8"/>
  <c r="I13" i="11" s="1"/>
  <c r="I28" i="8"/>
  <c r="I8" i="11" s="1"/>
  <c r="M19" i="8"/>
  <c r="M14" i="8"/>
  <c r="H20" i="8"/>
  <c r="H13" i="11" s="1"/>
  <c r="H28" i="8"/>
  <c r="K19" i="8"/>
  <c r="K14" i="8"/>
  <c r="K12" i="11" s="1"/>
  <c r="L19" i="8"/>
  <c r="L14" i="8"/>
  <c r="L12" i="11" s="1"/>
  <c r="J19" i="8"/>
  <c r="J14" i="8"/>
  <c r="J12" i="11" s="1"/>
  <c r="B6" i="6"/>
  <c r="N35" i="11" l="1"/>
  <c r="C38" i="11"/>
  <c r="E13" i="16"/>
  <c r="O12" i="11"/>
  <c r="E6" i="16"/>
  <c r="C14" i="11"/>
  <c r="I5" i="16" a="1"/>
  <c r="C22" i="11"/>
  <c r="C26" i="11"/>
  <c r="E14" i="16"/>
  <c r="L26" i="11"/>
  <c r="L22" i="11"/>
  <c r="O35" i="11"/>
  <c r="K14" i="11"/>
  <c r="K20" i="11" s="1"/>
  <c r="K22" i="11"/>
  <c r="K26" i="11"/>
  <c r="F22" i="11"/>
  <c r="F26" i="11"/>
  <c r="E14" i="11"/>
  <c r="E20" i="11" s="1"/>
  <c r="E26" i="11"/>
  <c r="E22" i="11"/>
  <c r="E8" i="16"/>
  <c r="N41" i="11"/>
  <c r="O41" i="11"/>
  <c r="D15" i="16"/>
  <c r="E15" i="16" s="1"/>
  <c r="D17" i="16"/>
  <c r="D16" i="16"/>
  <c r="D19" i="16"/>
  <c r="E19" i="16" s="1"/>
  <c r="D18" i="16"/>
  <c r="E18" i="16" s="1"/>
  <c r="J26" i="11"/>
  <c r="J22" i="11"/>
  <c r="E11" i="16"/>
  <c r="L7" i="11"/>
  <c r="L14" i="11"/>
  <c r="L20" i="11" s="1"/>
  <c r="F7" i="11"/>
  <c r="F14" i="11"/>
  <c r="F20" i="11" s="1"/>
  <c r="J7" i="11"/>
  <c r="J14" i="11"/>
  <c r="J20" i="11" s="1"/>
  <c r="K7" i="11"/>
  <c r="H8" i="11"/>
  <c r="G7" i="11"/>
  <c r="E28" i="8"/>
  <c r="E34" i="8" s="1"/>
  <c r="E7" i="11"/>
  <c r="C28" i="8"/>
  <c r="D7" i="11"/>
  <c r="E20" i="8"/>
  <c r="E13" i="11" s="1"/>
  <c r="C20" i="8"/>
  <c r="C13" i="11" s="1"/>
  <c r="D32" i="8"/>
  <c r="D34" i="8"/>
  <c r="D29" i="8"/>
  <c r="D15" i="11" s="1"/>
  <c r="I34" i="8"/>
  <c r="I24" i="11" s="1"/>
  <c r="I29" i="8"/>
  <c r="I15" i="11" s="1"/>
  <c r="I32" i="8"/>
  <c r="G34" i="8"/>
  <c r="G29" i="8"/>
  <c r="G15" i="11" s="1"/>
  <c r="G32" i="8"/>
  <c r="H34" i="8"/>
  <c r="H29" i="8"/>
  <c r="H15" i="11" s="1"/>
  <c r="H32" i="8"/>
  <c r="J20" i="8"/>
  <c r="J13" i="11" s="1"/>
  <c r="J28" i="8"/>
  <c r="J8" i="11" s="1"/>
  <c r="M20" i="8"/>
  <c r="M28" i="8"/>
  <c r="L20" i="8"/>
  <c r="L13" i="11" s="1"/>
  <c r="L28" i="8"/>
  <c r="K20" i="8"/>
  <c r="K13" i="11" s="1"/>
  <c r="K28" i="8"/>
  <c r="F20" i="8"/>
  <c r="F13" i="11" s="1"/>
  <c r="F28" i="8"/>
  <c r="F8" i="11" s="1"/>
  <c r="D8" i="11" l="1"/>
  <c r="C32" i="8"/>
  <c r="O22" i="11"/>
  <c r="N22" i="11"/>
  <c r="O13" i="11"/>
  <c r="N13" i="11"/>
  <c r="I5" i="16"/>
  <c r="I11" i="16"/>
  <c r="I10" i="16"/>
  <c r="I13" i="16"/>
  <c r="I7" i="16"/>
  <c r="J7" i="16" s="1"/>
  <c r="I14" i="16"/>
  <c r="I12" i="16"/>
  <c r="J12" i="16" s="1"/>
  <c r="I8" i="16"/>
  <c r="I6" i="16"/>
  <c r="J6" i="16" s="1"/>
  <c r="I9" i="16"/>
  <c r="D39" i="8"/>
  <c r="D43" i="8" s="1"/>
  <c r="D24" i="11"/>
  <c r="C20" i="11"/>
  <c r="O14" i="11"/>
  <c r="N14" i="11"/>
  <c r="O7" i="11"/>
  <c r="N7" i="11"/>
  <c r="G39" i="8"/>
  <c r="G43" i="8" s="1"/>
  <c r="G24" i="11"/>
  <c r="H39" i="8"/>
  <c r="H43" i="8" s="1"/>
  <c r="H24" i="11"/>
  <c r="N26" i="11"/>
  <c r="O26" i="11"/>
  <c r="E16" i="16"/>
  <c r="E39" i="8"/>
  <c r="E43" i="8" s="1"/>
  <c r="E24" i="11"/>
  <c r="E17" i="16"/>
  <c r="O38" i="11"/>
  <c r="N38" i="11"/>
  <c r="I9" i="11"/>
  <c r="I39" i="8"/>
  <c r="I43" i="8" s="1"/>
  <c r="C34" i="8"/>
  <c r="C29" i="8"/>
  <c r="C15" i="11" s="1"/>
  <c r="E9" i="11"/>
  <c r="E35" i="8"/>
  <c r="E16" i="11" s="1"/>
  <c r="E45" i="8"/>
  <c r="E23" i="11" s="1"/>
  <c r="E25" i="11" s="1"/>
  <c r="K8" i="11"/>
  <c r="G8" i="11"/>
  <c r="H9" i="11"/>
  <c r="E32" i="8"/>
  <c r="E8" i="11"/>
  <c r="L8" i="11"/>
  <c r="E29" i="8"/>
  <c r="E15" i="11" s="1"/>
  <c r="H35" i="8"/>
  <c r="H16" i="11" s="1"/>
  <c r="D35" i="8"/>
  <c r="D16" i="11" s="1"/>
  <c r="I35" i="8"/>
  <c r="I16" i="11" s="1"/>
  <c r="G35" i="8"/>
  <c r="G16" i="11" s="1"/>
  <c r="F29" i="8"/>
  <c r="F15" i="11" s="1"/>
  <c r="F32" i="8"/>
  <c r="F34" i="8"/>
  <c r="F24" i="11" s="1"/>
  <c r="J34" i="8"/>
  <c r="J24" i="11" s="1"/>
  <c r="J29" i="8"/>
  <c r="J15" i="11" s="1"/>
  <c r="J32" i="8"/>
  <c r="M32" i="8"/>
  <c r="M34" i="8"/>
  <c r="M29" i="8"/>
  <c r="K34" i="8"/>
  <c r="K24" i="11" s="1"/>
  <c r="K29" i="8"/>
  <c r="K15" i="11" s="1"/>
  <c r="K32" i="8"/>
  <c r="L32" i="8"/>
  <c r="L34" i="8"/>
  <c r="L29" i="8"/>
  <c r="L15" i="11" s="1"/>
  <c r="O8" i="11" l="1"/>
  <c r="J9" i="16"/>
  <c r="J11" i="16"/>
  <c r="N8" i="11"/>
  <c r="N15" i="11"/>
  <c r="O15" i="11"/>
  <c r="J13" i="16"/>
  <c r="D9" i="11"/>
  <c r="C24" i="11"/>
  <c r="J10" i="16"/>
  <c r="I15" i="16"/>
  <c r="J15" i="16" s="1"/>
  <c r="I19" i="16"/>
  <c r="I18" i="16"/>
  <c r="I16" i="16"/>
  <c r="I17" i="16"/>
  <c r="O20" i="11"/>
  <c r="N20" i="11"/>
  <c r="L39" i="8"/>
  <c r="L43" i="8" s="1"/>
  <c r="L24" i="11"/>
  <c r="J8" i="16"/>
  <c r="J14" i="16"/>
  <c r="F9" i="11"/>
  <c r="F39" i="8"/>
  <c r="F43" i="8" s="1"/>
  <c r="J9" i="11"/>
  <c r="J39" i="8"/>
  <c r="J43" i="8" s="1"/>
  <c r="K9" i="11"/>
  <c r="K39" i="8"/>
  <c r="K43" i="8" s="1"/>
  <c r="C39" i="8"/>
  <c r="C35" i="8"/>
  <c r="C16" i="11" s="1"/>
  <c r="G9" i="11"/>
  <c r="L9" i="11"/>
  <c r="H40" i="8"/>
  <c r="H45" i="8"/>
  <c r="H23" i="11" s="1"/>
  <c r="H25" i="11" s="1"/>
  <c r="L35" i="8"/>
  <c r="L16" i="11" s="1"/>
  <c r="G45" i="8"/>
  <c r="G23" i="11" s="1"/>
  <c r="G25" i="11" s="1"/>
  <c r="M35" i="8"/>
  <c r="M39" i="8"/>
  <c r="M43" i="8" s="1"/>
  <c r="J35" i="8"/>
  <c r="J16" i="11" s="1"/>
  <c r="F35" i="8"/>
  <c r="F16" i="11" s="1"/>
  <c r="E40" i="8"/>
  <c r="D45" i="8"/>
  <c r="D23" i="11" s="1"/>
  <c r="D25" i="11" s="1"/>
  <c r="I40" i="8"/>
  <c r="I45" i="8"/>
  <c r="I23" i="11" s="1"/>
  <c r="I25" i="11" s="1"/>
  <c r="K35" i="8"/>
  <c r="K16" i="11" s="1"/>
  <c r="O24" i="11" l="1"/>
  <c r="N24" i="11"/>
  <c r="J17" i="16"/>
  <c r="N9" i="11"/>
  <c r="O9" i="11"/>
  <c r="J16" i="16"/>
  <c r="N16" i="11"/>
  <c r="O16" i="11"/>
  <c r="J18" i="16"/>
  <c r="D40" i="8"/>
  <c r="N5" i="16" a="1"/>
  <c r="J19" i="16"/>
  <c r="G40" i="8"/>
  <c r="C43" i="8"/>
  <c r="C45" i="8" s="1"/>
  <c r="C23" i="11" s="1"/>
  <c r="M45" i="8"/>
  <c r="M40" i="8"/>
  <c r="F45" i="8"/>
  <c r="F23" i="11" s="1"/>
  <c r="F25" i="11" s="1"/>
  <c r="F40" i="8"/>
  <c r="L45" i="8"/>
  <c r="L23" i="11" s="1"/>
  <c r="L25" i="11" s="1"/>
  <c r="L40" i="8"/>
  <c r="K40" i="8"/>
  <c r="K45" i="8"/>
  <c r="K23" i="11" s="1"/>
  <c r="K25" i="11" s="1"/>
  <c r="J40" i="8"/>
  <c r="J45" i="8"/>
  <c r="J23" i="11" s="1"/>
  <c r="J25" i="11" s="1"/>
  <c r="C25" i="11" l="1"/>
  <c r="O23" i="11"/>
  <c r="N23" i="11"/>
  <c r="N7" i="16"/>
  <c r="N12" i="16"/>
  <c r="O12" i="16" s="1"/>
  <c r="N8" i="16"/>
  <c r="O8" i="16" s="1"/>
  <c r="N9" i="16"/>
  <c r="O9" i="16" s="1"/>
  <c r="N10" i="16"/>
  <c r="N11" i="16"/>
  <c r="N5" i="16"/>
  <c r="N13" i="16"/>
  <c r="N6" i="16"/>
  <c r="N14" i="16"/>
  <c r="O10" i="16" l="1"/>
  <c r="O7" i="16"/>
  <c r="O6" i="16"/>
  <c r="O14" i="16"/>
  <c r="O13" i="16"/>
  <c r="N15" i="16"/>
  <c r="O15" i="16" s="1"/>
  <c r="N16" i="16"/>
  <c r="N17" i="16"/>
  <c r="O17" i="16" s="1"/>
  <c r="N18" i="16"/>
  <c r="O18" i="16" s="1"/>
  <c r="N19" i="16"/>
  <c r="O11" i="16"/>
  <c r="N25" i="11"/>
  <c r="O25" i="11"/>
  <c r="O16" i="16" l="1"/>
  <c r="O19" i="16"/>
</calcChain>
</file>

<file path=xl/sharedStrings.xml><?xml version="1.0" encoding="utf-8"?>
<sst xmlns="http://schemas.openxmlformats.org/spreadsheetml/2006/main" count="218" uniqueCount="171">
  <si>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</si>
  <si>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</si>
  <si>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</si>
  <si>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</si>
  <si>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</si>
  <si>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</si>
  <si>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</si>
  <si>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</si>
  <si>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</si>
  <si>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</si>
  <si>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</si>
  <si>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</si>
  <si>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</si>
  <si>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</si>
  <si>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</si>
  <si>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</si>
  <si>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</si>
  <si>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</si>
  <si>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</si>
  <si>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</si>
  <si>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</si>
  <si>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</si>
  <si>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</si>
  <si>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</si>
  <si>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</si>
  <si>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</si>
  <si>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</si>
  <si>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</si>
  <si>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</si>
  <si>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</si>
  <si>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</si>
  <si>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</si>
  <si>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TATA MOTORS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</si>
  <si>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</si>
  <si>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</si>
  <si>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</si>
  <si>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</si>
  <si>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</si>
  <si>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</si>
  <si>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</si>
  <si>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</si>
  <si>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</si>
  <si>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</si>
  <si>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</si>
  <si>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</si>
  <si>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</si>
  <si>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</si>
  <si>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</si>
  <si>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</si>
  <si>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</si>
  <si>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</si>
  <si>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</si>
  <si>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</si>
  <si>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</si>
  <si>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</si>
  <si>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TATA MOTORS LTD.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</si>
  <si>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</si>
  <si>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</si>
  <si>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</si>
  <si>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</si>
  <si>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</si>
  <si>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</si>
  <si>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</si>
  <si>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</si>
  <si>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and General Expense</t>
  </si>
  <si>
    <t>EBITDA</t>
  </si>
  <si>
    <t>S&amp;G Expenses % Sales</t>
  </si>
  <si>
    <t>EBITDA Margins</t>
  </si>
  <si>
    <t>Interest % Sales</t>
  </si>
  <si>
    <t>Depreciation % sales</t>
  </si>
  <si>
    <t>Gross Margins</t>
  </si>
  <si>
    <t>Earnings Before Tax</t>
  </si>
  <si>
    <t>EBT % Sales</t>
  </si>
  <si>
    <t xml:space="preserve">Tax </t>
  </si>
  <si>
    <t>Effective Tax Rate</t>
  </si>
  <si>
    <t>Net Profit</t>
  </si>
  <si>
    <t>Net Margins</t>
  </si>
  <si>
    <t>EPS</t>
  </si>
  <si>
    <t>Number of Equity Share</t>
  </si>
  <si>
    <t>EPS Growth%</t>
  </si>
  <si>
    <t>Dividend Per Share</t>
  </si>
  <si>
    <t>Dividend Payout Ratio</t>
  </si>
  <si>
    <t>Retained Earnings</t>
  </si>
  <si>
    <t>Balance Sheet</t>
  </si>
  <si>
    <t>Total Liabilities</t>
  </si>
  <si>
    <t>Fixed Assets - Net Block</t>
  </si>
  <si>
    <t>Total Non Current Assets</t>
  </si>
  <si>
    <t>Total Current Assets</t>
  </si>
  <si>
    <t>Total Assets</t>
  </si>
  <si>
    <t>Check</t>
  </si>
  <si>
    <t>Cash Flow Statement</t>
  </si>
  <si>
    <t>Cash from Financing Activities</t>
  </si>
  <si>
    <t>Cash from Operating Activities</t>
  </si>
  <si>
    <t>Cash from Investing Activities</t>
  </si>
  <si>
    <t>SalesGrowth</t>
  </si>
  <si>
    <t>EBITDA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</si>
  <si>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</si>
  <si>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</si>
  <si>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</si>
  <si>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</si>
  <si>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</si>
  <si>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</si>
  <si>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</si>
  <si>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</si>
  <si>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</si>
  <si>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</si>
  <si>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</si>
  <si>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</si>
  <si>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</si>
  <si>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</si>
  <si>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</si>
  <si>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</si>
  <si>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</si>
  <si>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</si>
  <si>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</si>
  <si>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</si>
  <si>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</si>
  <si>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</si>
  <si>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</si>
  <si>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CFO/Sales</t>
  </si>
  <si>
    <t>CFO/Total Assets</t>
  </si>
  <si>
    <t>CFO/Total Debt</t>
  </si>
  <si>
    <t>EBT Growth</t>
  </si>
  <si>
    <t>(in days)</t>
  </si>
  <si>
    <t>Cash Conversion Cycle (in days)</t>
  </si>
  <si>
    <t>MEAN</t>
  </si>
  <si>
    <t>MEDIAN</t>
  </si>
  <si>
    <t>TREND</t>
  </si>
  <si>
    <t>Year Weight</t>
  </si>
  <si>
    <t>Year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</si>
  <si>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</si>
  <si>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</si>
  <si>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</si>
  <si>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</si>
  <si>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</si>
  <si>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</si>
  <si>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</si>
  <si>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</si>
  <si>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</si>
  <si>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</si>
  <si>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</si>
  <si>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</si>
  <si>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</si>
  <si>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</si>
  <si>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</si>
  <si>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</si>
  <si>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</si>
  <si>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</si>
  <si>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</si>
  <si>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</si>
  <si>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</si>
  <si>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</si>
  <si>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</si>
  <si>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Forecast</t>
  </si>
  <si>
    <t>Function</t>
  </si>
  <si>
    <t>Weight</t>
  </si>
  <si>
    <t>Through Forecast Function</t>
  </si>
  <si>
    <t>Through Regression</t>
  </si>
  <si>
    <t>EPS Growth</t>
  </si>
  <si>
    <t>#Ratio analysis notes =&gt;</t>
  </si>
  <si>
    <t xml:space="preserve">1. Set in the format of X by using the following - </t>
  </si>
  <si>
    <t>2. Trend line by Spark Line.</t>
  </si>
  <si>
    <t># cash Flow has been borrowed from the data sheet only for the sake of simplicity.</t>
  </si>
  <si>
    <t>Take year and sales array =&gt; insert scatter diagram =&gt; add chart element "trendline"</t>
  </si>
  <si>
    <t>By using custom format 0 "A" in ctrl+1</t>
  </si>
  <si>
    <t>.=&gt;"Data analysis"</t>
  </si>
  <si>
    <t>By Data</t>
  </si>
  <si>
    <t># Comprehensive Forecast</t>
  </si>
  <si>
    <t># Forecast (in forecast we choose regression instead of Arithmetic in Geometric Mean since in them analysis fails when the growth rate of the thing to be forecasted in uneven)</t>
  </si>
  <si>
    <t xml:space="preserve">Copy year and sales data from screener and transpose it by ctrl alt v =&gt; text =&gt; transpose </t>
  </si>
  <si>
    <t xml:space="preserve">   (Regression line is the line closest to all the known Data Points.)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</si>
</sst>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&quot;₹&quot;\ \(#,##0.0\)\,\-"/>
    <numFmt numFmtId="167" formatCode="&quot;₹&quot;\ #,##0.0;&quot;₹&quot;\ \(#,##0.0\);\-"/>
    <numFmt numFmtId="168" formatCode="&quot;₹&quot;\ #,##0.0"/>
    <numFmt numFmtId="169" formatCode="0.00\ &quot;x&quot;"/>
    <numFmt numFmtId="170" formatCode="#,##0.0"/>
    <numFmt numFmtId="171" formatCode="0\ &quot;A&quot;"/>
    <numFmt numFmtId="172" formatCode="0\ &quot;E&quot;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89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2" fillId="4" borderId="0" xfId="0" applyFont="1" applyFill="1"/>
    <xf numFmtId="17" fontId="2" fillId="4" borderId="0" xfId="0" applyNumberFormat="1" applyFont="1" applyFill="1"/>
    <xf numFmtId="9" fontId="0" fillId="0" borderId="0" xfId="4" applyFont="1"/>
    <xf numFmtId="166" fontId="0" fillId="0" borderId="0" xfId="0" applyNumberFormat="1"/>
    <xf numFmtId="17" fontId="2" fillId="4" borderId="0" xfId="0" applyNumberFormat="1" applyFont="1" applyFill="1" applyAlignment="1">
      <alignment horizontal="right"/>
    </xf>
    <xf numFmtId="9" fontId="7" fillId="0" borderId="0" xfId="4" applyFont="1"/>
    <xf numFmtId="10" fontId="7" fillId="0" borderId="0" xfId="0" applyNumberFormat="1" applyFont="1"/>
    <xf numFmtId="167" fontId="0" fillId="0" borderId="0" xfId="0" applyNumberFormat="1"/>
    <xf numFmtId="168" fontId="7" fillId="0" borderId="0" xfId="0" applyNumberFormat="1" applyFont="1" applyAlignment="1">
      <alignment horizontal="right"/>
    </xf>
    <xf numFmtId="10" fontId="0" fillId="0" borderId="0" xfId="0" applyNumberFormat="1"/>
    <xf numFmtId="9" fontId="1" fillId="5" borderId="0" xfId="4" applyFont="1" applyFill="1"/>
    <xf numFmtId="0" fontId="0" fillId="5" borderId="0" xfId="0" applyFill="1"/>
    <xf numFmtId="167" fontId="1" fillId="0" borderId="0" xfId="0" applyNumberFormat="1" applyFont="1"/>
    <xf numFmtId="0" fontId="8" fillId="0" borderId="0" xfId="0" applyFont="1" applyAlignment="1">
      <alignment wrapText="1"/>
    </xf>
    <xf numFmtId="0" fontId="8" fillId="0" borderId="0" xfId="0" applyFont="1"/>
    <xf numFmtId="0" fontId="1" fillId="0" borderId="0" xfId="0" applyFont="1"/>
    <xf numFmtId="9" fontId="1" fillId="0" borderId="1" xfId="4" applyFont="1" applyBorder="1"/>
    <xf numFmtId="167" fontId="1" fillId="0" borderId="1" xfId="0" applyNumberFormat="1" applyFont="1" applyBorder="1"/>
    <xf numFmtId="0" fontId="0" fillId="0" borderId="0" xfId="0" applyAlignment="1">
      <alignment wrapText="1"/>
    </xf>
    <xf numFmtId="10" fontId="6" fillId="0" borderId="0" xfId="0" applyNumberFormat="1" applyFont="1"/>
    <xf numFmtId="0" fontId="0" fillId="6" borderId="0" xfId="0" applyFill="1"/>
    <xf numFmtId="43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2" xfId="0" applyBorder="1" applyAlignment="1">
      <alignment vertical="center"/>
    </xf>
    <xf numFmtId="10" fontId="6" fillId="0" borderId="2" xfId="0" applyNumberFormat="1" applyFont="1" applyBorder="1" applyAlignment="1">
      <alignment horizontal="right"/>
    </xf>
    <xf numFmtId="10" fontId="6" fillId="0" borderId="2" xfId="0" applyNumberFormat="1" applyFont="1" applyBorder="1"/>
    <xf numFmtId="0" fontId="0" fillId="0" borderId="0" xfId="0" applyAlignment="1">
      <alignment vertical="center"/>
    </xf>
    <xf numFmtId="10" fontId="6" fillId="0" borderId="0" xfId="0" applyNumberFormat="1" applyFont="1" applyAlignment="1">
      <alignment horizontal="right"/>
    </xf>
    <xf numFmtId="0" fontId="0" fillId="0" borderId="3" xfId="0" applyBorder="1" applyAlignment="1">
      <alignment vertical="center"/>
    </xf>
    <xf numFmtId="10" fontId="6" fillId="0" borderId="3" xfId="0" applyNumberFormat="1" applyFont="1" applyBorder="1" applyAlignment="1">
      <alignment horizontal="right"/>
    </xf>
    <xf numFmtId="10" fontId="6" fillId="0" borderId="3" xfId="0" applyNumberFormat="1" applyFont="1" applyBorder="1"/>
    <xf numFmtId="10" fontId="0" fillId="0" borderId="2" xfId="0" applyNumberFormat="1" applyBorder="1" applyAlignment="1">
      <alignment wrapText="1"/>
    </xf>
    <xf numFmtId="10" fontId="0" fillId="0" borderId="0" xfId="0" applyNumberFormat="1" applyAlignment="1">
      <alignment wrapText="1"/>
    </xf>
    <xf numFmtId="10" fontId="0" fillId="0" borderId="3" xfId="0" applyNumberFormat="1" applyBorder="1" applyAlignment="1">
      <alignment wrapText="1"/>
    </xf>
    <xf numFmtId="169" fontId="0" fillId="0" borderId="3" xfId="0" applyNumberFormat="1" applyBorder="1" applyAlignment="1">
      <alignment wrapText="1"/>
    </xf>
    <xf numFmtId="169" fontId="0" fillId="0" borderId="2" xfId="0" applyNumberFormat="1" applyBorder="1" applyAlignment="1">
      <alignment wrapText="1"/>
    </xf>
    <xf numFmtId="169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" fontId="0" fillId="0" borderId="3" xfId="0" applyNumberFormat="1" applyBorder="1" applyAlignment="1">
      <alignment wrapText="1"/>
    </xf>
    <xf numFmtId="0" fontId="9" fillId="0" borderId="0" xfId="0" applyFont="1" applyAlignment="1">
      <alignment wrapText="1"/>
    </xf>
    <xf numFmtId="1" fontId="0" fillId="0" borderId="2" xfId="0" applyNumberFormat="1" applyBorder="1" applyAlignment="1">
      <alignment wrapText="1"/>
    </xf>
    <xf numFmtId="10" fontId="6" fillId="6" borderId="2" xfId="0" applyNumberFormat="1" applyFont="1" applyFill="1" applyBorder="1"/>
    <xf numFmtId="10" fontId="0" fillId="0" borderId="2" xfId="4" applyNumberFormat="1" applyFont="1" applyBorder="1"/>
    <xf numFmtId="10" fontId="6" fillId="6" borderId="0" xfId="0" applyNumberFormat="1" applyFont="1" applyFill="1"/>
    <xf numFmtId="10" fontId="0" fillId="0" borderId="0" xfId="4" applyNumberFormat="1" applyFont="1" applyBorder="1"/>
    <xf numFmtId="10" fontId="6" fillId="6" borderId="3" xfId="0" applyNumberFormat="1" applyFont="1" applyFill="1" applyBorder="1"/>
    <xf numFmtId="10" fontId="0" fillId="0" borderId="3" xfId="4" applyNumberFormat="1" applyFont="1" applyBorder="1"/>
    <xf numFmtId="0" fontId="0" fillId="6" borderId="2" xfId="0" applyFill="1" applyBorder="1"/>
    <xf numFmtId="0" fontId="0" fillId="6" borderId="3" xfId="0" applyFill="1" applyBorder="1"/>
    <xf numFmtId="0" fontId="2" fillId="6" borderId="0" xfId="0" applyFont="1" applyFill="1" applyAlignment="1">
      <alignment horizontal="center"/>
    </xf>
    <xf numFmtId="49" fontId="2" fillId="6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/>
    </xf>
    <xf numFmtId="17" fontId="0" fillId="0" borderId="0" xfId="0" applyNumberFormat="1"/>
    <xf numFmtId="3" fontId="0" fillId="0" borderId="0" xfId="0" applyNumberFormat="1"/>
    <xf numFmtId="170" fontId="0" fillId="0" borderId="0" xfId="0" applyNumberFormat="1"/>
    <xf numFmtId="170" fontId="10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43" fontId="2" fillId="6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left"/>
    </xf>
    <xf numFmtId="0" fontId="10" fillId="6" borderId="0" xfId="0" applyFont="1" applyFill="1"/>
    <xf numFmtId="170" fontId="10" fillId="6" borderId="0" xfId="0" applyNumberFormat="1" applyFont="1" applyFill="1"/>
    <xf numFmtId="171" fontId="10" fillId="0" borderId="0" xfId="0" applyNumberFormat="1" applyFont="1"/>
    <xf numFmtId="172" fontId="10" fillId="0" borderId="0" xfId="0" applyNumberFormat="1" applyFont="1"/>
    <xf numFmtId="0" fontId="0" fillId="0" borderId="4" xfId="0" applyBorder="1"/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Continuous"/>
    </xf>
    <xf numFmtId="170" fontId="6" fillId="0" borderId="0" xfId="0" applyNumberFormat="1" applyFont="1"/>
    <xf numFmtId="171" fontId="6" fillId="0" borderId="0" xfId="0" applyNumberFormat="1" applyFont="1"/>
    <xf numFmtId="172" fontId="6" fillId="0" borderId="0" xfId="0" applyNumberFormat="1" applyFont="1"/>
    <xf numFmtId="0" fontId="0" fillId="8" borderId="0" xfId="0" applyFill="1" applyAlignment="1">
      <alignment horizontal="left"/>
    </xf>
    <xf numFmtId="172" fontId="6" fillId="8" borderId="0" xfId="0" applyNumberFormat="1" applyFont="1" applyFill="1"/>
    <xf numFmtId="170" fontId="6" fillId="8" borderId="0" xfId="0" applyNumberFormat="1" applyFont="1" applyFill="1"/>
    <xf numFmtId="10" fontId="0" fillId="8" borderId="0" xfId="0" applyNumberFormat="1" applyFill="1"/>
    <xf numFmtId="43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2" fillId="7" borderId="0" xfId="0" applyFont="1" applyFill="1" applyAlignment="1">
      <alignment horizontal="center"/>
    </xf>
    <xf numFmtId="43" fontId="2" fillId="6" borderId="0" xfId="0" applyNumberFormat="1" applyFont="1" applyFill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'Comp Forecast Sheet'!$D$4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'Comp Forecast Sheet'!$C$5:$C$16</c:f>
              <c:numCache>
                <c:formatCode>0\ "A"</c:formatCod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numCache>
            </c:numRef>
          </c:xVal>
          <c:yVal>
            <c:numRef>
              <c:f>'Comp Forecast Sheet'!$D$5:$D$16</c:f>
              <c:numCache>
                <c:formatCode>#,##0.0</c:formatCode>
                <c:ptCount val="12"/>
                <c:pt idx="0">
                  <c:v>165654</c:v>
                </c:pt>
                <c:pt idx="1">
                  <c:v>188793</c:v>
                </c:pt>
                <c:pt idx="2">
                  <c:v>232834</c:v>
                </c:pt>
                <c:pt idx="3">
                  <c:v>263159</c:v>
                </c:pt>
                <c:pt idx="4">
                  <c:v>273046</c:v>
                </c:pt>
                <c:pt idx="5">
                  <c:v>269693</c:v>
                </c:pt>
                <c:pt idx="6">
                  <c:v>291550</c:v>
                </c:pt>
                <c:pt idx="7">
                  <c:v>301938</c:v>
                </c:pt>
                <c:pt idx="8">
                  <c:v>261068</c:v>
                </c:pt>
                <c:pt idx="9">
                  <c:v>249795</c:v>
                </c:pt>
                <c:pt idx="10">
                  <c:v>278454</c:v>
                </c:pt>
                <c:pt idx="11">
                  <c:v>345967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68-4059-BD7B-DB82ECB30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177632"/>
        <c:axId val="252557280"/>
      </c:scatterChart>
      <c:valAx>
        <c:axId val="58517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57280"/>
        <c:crosses val="autoZero"/>
        <c:crossBetween val="midCat"/>
      </c:valAx>
      <c:valAx>
        <c:axId val="25255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17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15241</xdr:colOff>
      <xdr:row>2</xdr:row>
      <xdr:rowOff>101248</xdr:rowOff>
    </xdr:from>
    <xdr:to>
      <xdr:col>13</xdr:col>
      <xdr:colOff>25587</xdr:colOff>
      <xdr:row>5</xdr:row>
      <xdr:rowOff>137159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CDCABE-E18E-21CB-8DB3-856BB01B5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1" y="467008"/>
          <a:ext cx="7325546" cy="584551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8</xdr:row>
      <xdr:rowOff>81120</xdr:rowOff>
    </xdr:from>
    <xdr:to>
      <xdr:col>13</xdr:col>
      <xdr:colOff>405128</xdr:colOff>
      <xdr:row>16</xdr:row>
      <xdr:rowOff>167923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2570EB-8FCC-C900-0016-B13CE5007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9700" y="1544160"/>
          <a:ext cx="6920228" cy="1549843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533401</xdr:colOff>
      <xdr:row>27</xdr:row>
      <xdr:rowOff>46532</xdr:rowOff>
    </xdr:from>
    <xdr:to>
      <xdr:col>4</xdr:col>
      <xdr:colOff>1</xdr:colOff>
      <xdr:row>39</xdr:row>
      <xdr:rowOff>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B1B027-9147-D4CC-AA06-B935A12AC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1" y="3338372"/>
          <a:ext cx="1905000" cy="2148302"/>
        </a:xfrm>
        <a:prstGeom prst="rect">
          <a:avLst/>
        </a:prstGeom>
      </xdr:spPr>
    </xdr:pic>
    <xdr:clientData/>
  </xdr:twoCellAnchor>
  <xdr:twoCellAnchor editAs="oneCell">
    <xdr:from>
      <xdr:col>0</xdr:col>
      <xdr:colOff>525780</xdr:colOff>
      <xdr:row>41</xdr:row>
      <xdr:rowOff>22860</xdr:rowOff>
    </xdr:from>
    <xdr:to>
      <xdr:col>8</xdr:col>
      <xdr:colOff>154341</xdr:colOff>
      <xdr:row>53</xdr:row>
      <xdr:rowOff>46055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27B2FE-7C94-E661-9C69-26CB40E46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5780" y="5692140"/>
          <a:ext cx="4505361" cy="2217755"/>
        </a:xfrm>
        <a:prstGeom prst="rect">
          <a:avLst/>
        </a:prstGeom>
      </xdr:spPr>
    </xdr:pic>
    <xdr:clientData/>
  </xdr:twoCellAnchor>
  <xdr:twoCellAnchor editAs="oneCell">
    <xdr:from>
      <xdr:col>9</xdr:col>
      <xdr:colOff>579120</xdr:colOff>
      <xdr:row>53</xdr:row>
      <xdr:rowOff>15240</xdr:rowOff>
    </xdr:from>
    <xdr:to>
      <xdr:col>15</xdr:col>
      <xdr:colOff>290470</xdr:colOff>
      <xdr:row>67</xdr:row>
      <xdr:rowOff>114617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50A37C-F3F2-9359-2379-3401CB221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65520" y="7879080"/>
          <a:ext cx="3368950" cy="2659697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388621</xdr:colOff>
      <xdr:row>53</xdr:row>
      <xdr:rowOff>167640</xdr:rowOff>
    </xdr:from>
    <xdr:to>
      <xdr:col>7</xdr:col>
      <xdr:colOff>432579</xdr:colOff>
      <xdr:row>63</xdr:row>
      <xdr:rowOff>145080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2DBDBF0-55DE-0993-CE28-6B09F86F2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8621" y="8031480"/>
          <a:ext cx="4311158" cy="1806240"/>
        </a:xfrm>
        <a:prstGeom prst="rect">
          <a:avLst/>
        </a:prstGeom>
      </xdr:spPr>
    </xdr:pic>
    <xdr:clientData/>
  </xdr:twoCellAnchor>
  <xdr:twoCellAnchor editAs="oneCell">
    <xdr:from>
      <xdr:col>9</xdr:col>
      <xdr:colOff>320040</xdr:colOff>
      <xdr:row>18</xdr:row>
      <xdr:rowOff>76200</xdr:rowOff>
    </xdr:from>
    <xdr:to>
      <xdr:col>13</xdr:col>
      <xdr:colOff>79819</xdr:colOff>
      <xdr:row>27</xdr:row>
      <xdr:rowOff>68849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A334DA-E818-E60D-FDA5-4DFBD274B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06440" y="3368040"/>
          <a:ext cx="2198179" cy="16385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556260</xdr:colOff>
      <xdr:row>0</xdr:row>
      <xdr:rowOff>121920</xdr:rowOff>
    </xdr:from>
    <xdr:to>
      <xdr:col>10</xdr:col>
      <xdr:colOff>716280</xdr:colOff>
      <xdr:row>15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89EB77-55CC-4CDF-A7D0-A0DA1C3CE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FA0E-A1BC-43C9-AF76-1FC69F87222F}">
  <sheetPr>
    <tabColor theme="4" tint="-0.499984740745262"/>
  </sheetPr>
  <dimension ref="A1"/>
  <sheetViews>
    <sheetView workbookViewId="0">
      <selection activeCell="E26" sqref="E26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DED9-4135-4F1A-B988-4623B0A8A8A1}">
  <dimension ref="A2:N108"/>
  <sheetViews>
    <sheetView showGridLines="0" zoomScaleNormal="10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C19" sqref="C19"/>
    </sheetView>
  </sheetViews>
  <sheetFormatPr defaultRowHeight="14.5" x14ac:dyDescent="0.35"/>
  <cols>
    <col min="1" max="1" width="1.90625" customWidth="1"/>
    <col min="2" max="2" width="40.81640625" customWidth="1"/>
    <col min="3" max="13" width="13.81640625" customWidth="1"/>
    <col min="14" max="14" width="13.36328125" customWidth="1"/>
  </cols>
  <sheetData>
    <row r="2" spans="1:14" x14ac:dyDescent="0.35">
      <c r="B2" s="83" t="str">
        <f>'Data Sheet'!B1</f>
        <v>TATA MOTORS LTD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14" x14ac:dyDescent="0.35">
      <c r="B3" s="84" t="str">
        <f>"Historcial Financial Statements - " &amp; B2</f>
        <v>Historcial Financial Statements - TATA MOTORS LTD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</row>
    <row r="4" spans="1:14" x14ac:dyDescent="0.35">
      <c r="B4" s="8" t="s">
        <v>54</v>
      </c>
      <c r="C4" s="9">
        <f>'Data Sheet'!B16</f>
        <v>41729</v>
      </c>
      <c r="D4" s="9">
        <f>'Data Sheet'!C16</f>
        <v>42094</v>
      </c>
      <c r="E4" s="9">
        <f>'Data Sheet'!D16</f>
        <v>42460</v>
      </c>
      <c r="F4" s="9">
        <f>'Data Sheet'!E16</f>
        <v>42825</v>
      </c>
      <c r="G4" s="9">
        <f>'Data Sheet'!F16</f>
        <v>43190</v>
      </c>
      <c r="H4" s="9">
        <f>'Data Sheet'!G16</f>
        <v>43555</v>
      </c>
      <c r="I4" s="9">
        <f>'Data Sheet'!H16</f>
        <v>43921</v>
      </c>
      <c r="J4" s="9">
        <f>'Data Sheet'!I16</f>
        <v>44286</v>
      </c>
      <c r="K4" s="9">
        <f>'Data Sheet'!J16</f>
        <v>44651</v>
      </c>
      <c r="L4" s="9">
        <f>'Data Sheet'!K16</f>
        <v>45016</v>
      </c>
      <c r="M4" s="12" t="s">
        <v>56</v>
      </c>
    </row>
    <row r="6" spans="1:14" x14ac:dyDescent="0.35">
      <c r="A6" t="s">
        <v>58</v>
      </c>
      <c r="B6" s="18" t="s">
        <v>57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4" x14ac:dyDescent="0.35">
      <c r="B7" s="10" t="s">
        <v>1</v>
      </c>
      <c r="C7" s="15">
        <f>IFERROR('Data Sheet'!B17,0)</f>
        <v>232833.66</v>
      </c>
      <c r="D7" s="15">
        <f>IFERROR('Data Sheet'!C17,0)</f>
        <v>263158.98</v>
      </c>
      <c r="E7" s="15">
        <f>IFERROR('Data Sheet'!D17,0)</f>
        <v>273045.59999999998</v>
      </c>
      <c r="F7" s="15">
        <f>IFERROR('Data Sheet'!E17,0)</f>
        <v>269692.51</v>
      </c>
      <c r="G7" s="15">
        <f>IFERROR('Data Sheet'!F17,0)</f>
        <v>291550.48</v>
      </c>
      <c r="H7" s="15">
        <f>IFERROR('Data Sheet'!G17,0)</f>
        <v>301938.40000000002</v>
      </c>
      <c r="I7" s="15">
        <f>IFERROR('Data Sheet'!H17,0)</f>
        <v>261067.97</v>
      </c>
      <c r="J7" s="15">
        <f>IFERROR('Data Sheet'!I17,0)</f>
        <v>249794.75</v>
      </c>
      <c r="K7" s="15">
        <f>IFERROR('Data Sheet'!J17,0)</f>
        <v>278453.62</v>
      </c>
      <c r="L7" s="15">
        <f>IFERROR('Data Sheet'!K17,0)</f>
        <v>345966.97</v>
      </c>
      <c r="M7" s="15">
        <f>IFERROR(SUM('Data Sheet'!H42:K42),0)</f>
        <v>401785.26</v>
      </c>
      <c r="N7" s="15"/>
    </row>
    <row r="8" spans="1:14" x14ac:dyDescent="0.35">
      <c r="B8" s="13" t="s">
        <v>59</v>
      </c>
      <c r="C8" s="16" t="s">
        <v>60</v>
      </c>
      <c r="D8" s="14">
        <f t="shared" ref="D8:F8" si="0">(D7/C7)-1</f>
        <v>0.13024457030826198</v>
      </c>
      <c r="E8" s="14">
        <f t="shared" si="0"/>
        <v>3.75690010654397E-2</v>
      </c>
      <c r="F8" s="14">
        <f t="shared" si="0"/>
        <v>-1.2280329732469508E-2</v>
      </c>
      <c r="G8" s="14">
        <f>(G7/F7)-1</f>
        <v>8.104774581985974E-2</v>
      </c>
      <c r="H8" s="14">
        <f t="shared" ref="H8:M8" si="1">(H7/G7)-1</f>
        <v>3.5629919045237157E-2</v>
      </c>
      <c r="I8" s="14">
        <f t="shared" si="1"/>
        <v>-0.135360159555724</v>
      </c>
      <c r="J8" s="14">
        <f t="shared" si="1"/>
        <v>-4.3181168490336042E-2</v>
      </c>
      <c r="K8" s="14">
        <f t="shared" si="1"/>
        <v>0.11472967306158344</v>
      </c>
      <c r="L8" s="14">
        <f t="shared" si="1"/>
        <v>0.24245815155859707</v>
      </c>
      <c r="M8" s="14">
        <f t="shared" si="1"/>
        <v>0.16133993947456893</v>
      </c>
    </row>
    <row r="9" spans="1:14" x14ac:dyDescent="0.35">
      <c r="B9" s="10"/>
      <c r="F9" s="11"/>
      <c r="G9" s="11"/>
      <c r="H9" s="11"/>
      <c r="I9" s="11"/>
      <c r="J9" s="11"/>
      <c r="K9" s="11"/>
      <c r="L9" s="11"/>
    </row>
    <row r="10" spans="1:14" x14ac:dyDescent="0.35">
      <c r="B10" s="10" t="s">
        <v>61</v>
      </c>
      <c r="C10" s="15">
        <f>IFERROR(SUM('Data Sheet'!B18,'Data Sheet'!B20:B22) - 1*'Data Sheet'!B19,0)</f>
        <v>180131.06000000003</v>
      </c>
      <c r="D10" s="15">
        <f>IFERROR(SUM('Data Sheet'!C18,'Data Sheet'!C20:C22) - 1*'Data Sheet'!C19,0)</f>
        <v>202856.88</v>
      </c>
      <c r="E10" s="15">
        <f>IFERROR(SUM('Data Sheet'!D18,'Data Sheet'!D20:D22) - 1*'Data Sheet'!D19,0)</f>
        <v>205509.07</v>
      </c>
      <c r="F10" s="15">
        <f>IFERROR(SUM('Data Sheet'!E18,'Data Sheet'!E20:E22) - 1*'Data Sheet'!E19,0)</f>
        <v>205454.23999999996</v>
      </c>
      <c r="G10" s="15">
        <f>IFERROR(SUM('Data Sheet'!F18,'Data Sheet'!F20:F22) - 1*'Data Sheet'!F19,0)</f>
        <v>228429.83</v>
      </c>
      <c r="H10" s="15">
        <f>IFERROR(SUM('Data Sheet'!G18,'Data Sheet'!G20:G22) - 1*'Data Sheet'!G19,0)</f>
        <v>242845.53</v>
      </c>
      <c r="I10" s="15">
        <f>IFERROR(SUM('Data Sheet'!H18,'Data Sheet'!H20:H22) - 1*'Data Sheet'!H19,0)</f>
        <v>210376.07000000004</v>
      </c>
      <c r="J10" s="15">
        <f>IFERROR(SUM('Data Sheet'!I18,'Data Sheet'!I20:I22) - 1*'Data Sheet'!I19,0)</f>
        <v>195326.04</v>
      </c>
      <c r="K10" s="15">
        <f>IFERROR(SUM('Data Sheet'!J18,'Data Sheet'!J20:J22) - 1*'Data Sheet'!J19,0)</f>
        <v>223300.00999999998</v>
      </c>
      <c r="L10" s="15">
        <f>IFERROR(SUM('Data Sheet'!K18,'Data Sheet'!K20:K22) - 1*'Data Sheet'!K19,0)</f>
        <v>274403.64</v>
      </c>
      <c r="M10" s="15">
        <f>IFERROR(SUM('Data Sheet'!H43:K43),0)</f>
        <v>350865.95999999996</v>
      </c>
    </row>
    <row r="11" spans="1:14" x14ac:dyDescent="0.35">
      <c r="B11" s="13" t="s">
        <v>62</v>
      </c>
      <c r="C11" s="14">
        <f t="shared" ref="C11:E11" si="2">C10/C7</f>
        <v>0.77364698901353024</v>
      </c>
      <c r="D11" s="14">
        <f t="shared" si="2"/>
        <v>0.77085296500237244</v>
      </c>
      <c r="E11" s="14">
        <f t="shared" si="2"/>
        <v>0.75265475803309057</v>
      </c>
      <c r="F11" s="14">
        <f>F10/F7</f>
        <v>0.76180921746770036</v>
      </c>
      <c r="G11" s="14">
        <f t="shared" ref="G11:M11" si="3">G10/G7</f>
        <v>0.78350009919380004</v>
      </c>
      <c r="H11" s="14">
        <f t="shared" si="3"/>
        <v>0.80428832503583503</v>
      </c>
      <c r="I11" s="14">
        <f t="shared" si="3"/>
        <v>0.80582872728508226</v>
      </c>
      <c r="J11" s="14">
        <f t="shared" si="3"/>
        <v>0.7819461377791167</v>
      </c>
      <c r="K11" s="14">
        <f t="shared" si="3"/>
        <v>0.80192891728252624</v>
      </c>
      <c r="L11" s="14">
        <f t="shared" si="3"/>
        <v>0.79314982005363122</v>
      </c>
      <c r="M11" s="14">
        <f t="shared" si="3"/>
        <v>0.8732673767076472</v>
      </c>
    </row>
    <row r="12" spans="1:14" x14ac:dyDescent="0.35">
      <c r="B12" s="10"/>
      <c r="F12" s="11"/>
      <c r="G12" s="11"/>
      <c r="H12" s="11"/>
      <c r="I12" s="11"/>
      <c r="J12" s="11"/>
      <c r="K12" s="11"/>
      <c r="L12" s="11"/>
    </row>
    <row r="13" spans="1:14" x14ac:dyDescent="0.35">
      <c r="B13" s="24" t="s">
        <v>63</v>
      </c>
      <c r="C13" s="25">
        <f t="shared" ref="C13:E13" si="4">C7-C10</f>
        <v>52702.599999999977</v>
      </c>
      <c r="D13" s="25">
        <f t="shared" si="4"/>
        <v>60302.099999999977</v>
      </c>
      <c r="E13" s="25">
        <f t="shared" si="4"/>
        <v>67536.52999999997</v>
      </c>
      <c r="F13" s="25">
        <f>F7-F10</f>
        <v>64238.270000000048</v>
      </c>
      <c r="G13" s="25">
        <f t="shared" ref="G13:M13" si="5">G7-G10</f>
        <v>63120.649999999994</v>
      </c>
      <c r="H13" s="25">
        <f t="shared" si="5"/>
        <v>59092.870000000024</v>
      </c>
      <c r="I13" s="25">
        <f t="shared" si="5"/>
        <v>50691.899999999965</v>
      </c>
      <c r="J13" s="25">
        <f t="shared" si="5"/>
        <v>54468.709999999992</v>
      </c>
      <c r="K13" s="25">
        <f t="shared" si="5"/>
        <v>55153.610000000015</v>
      </c>
      <c r="L13" s="25">
        <f t="shared" si="5"/>
        <v>71563.329999999958</v>
      </c>
      <c r="M13" s="25">
        <f t="shared" si="5"/>
        <v>50919.300000000047</v>
      </c>
    </row>
    <row r="14" spans="1:14" x14ac:dyDescent="0.35">
      <c r="B14" s="13" t="s">
        <v>70</v>
      </c>
      <c r="C14" s="14">
        <f t="shared" ref="C14:E14" si="6">C13/C7</f>
        <v>0.22635301098646982</v>
      </c>
      <c r="D14" s="14">
        <f t="shared" si="6"/>
        <v>0.22914703499762759</v>
      </c>
      <c r="E14" s="14">
        <f t="shared" si="6"/>
        <v>0.24734524196690946</v>
      </c>
      <c r="F14" s="14">
        <f>F13/F7</f>
        <v>0.23819078253229964</v>
      </c>
      <c r="G14" s="14">
        <f t="shared" ref="G14:M14" si="7">G13/G7</f>
        <v>0.21649990080619999</v>
      </c>
      <c r="H14" s="14">
        <f t="shared" si="7"/>
        <v>0.19571167496416494</v>
      </c>
      <c r="I14" s="14">
        <f t="shared" si="7"/>
        <v>0.19417127271491774</v>
      </c>
      <c r="J14" s="14">
        <f t="shared" si="7"/>
        <v>0.2180538622208833</v>
      </c>
      <c r="K14" s="14">
        <f t="shared" si="7"/>
        <v>0.19807108271747378</v>
      </c>
      <c r="L14" s="14">
        <f t="shared" si="7"/>
        <v>0.20685017994636876</v>
      </c>
      <c r="M14" s="14">
        <f t="shared" si="7"/>
        <v>0.12673262329235285</v>
      </c>
    </row>
    <row r="15" spans="1:14" x14ac:dyDescent="0.35"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4" x14ac:dyDescent="0.35">
      <c r="B16" s="10" t="s">
        <v>64</v>
      </c>
      <c r="C16" s="15">
        <f>IFERROR(SUM('Data Sheet'!B23:B24),0)</f>
        <v>17849.240000000002</v>
      </c>
      <c r="D16" s="15">
        <f>IFERROR(SUM('Data Sheet'!C23:C24),0)</f>
        <v>21063.449999999997</v>
      </c>
      <c r="E16" s="15">
        <f>IFERROR(SUM('Data Sheet'!D23:D24),0)</f>
        <v>29141.280000000002</v>
      </c>
      <c r="F16" s="15">
        <f>IFERROR(SUM('Data Sheet'!E23:E24),0)</f>
        <v>34649.58</v>
      </c>
      <c r="G16" s="15">
        <f>IFERROR(SUM('Data Sheet'!F23:F24),0)</f>
        <v>31662.97</v>
      </c>
      <c r="H16" s="15">
        <f>IFERROR(SUM('Data Sheet'!G23:G24),0)</f>
        <v>34428.54</v>
      </c>
      <c r="I16" s="15">
        <f>IFERROR(SUM('Data Sheet'!H23:H24),0)</f>
        <v>32704.83</v>
      </c>
      <c r="J16" s="15">
        <f>IFERROR(SUM('Data Sheet'!I23:I24),0)</f>
        <v>22181.280000000002</v>
      </c>
      <c r="K16" s="15">
        <f>IFERROR(SUM('Data Sheet'!J23:J24),0)</f>
        <v>30433.52</v>
      </c>
      <c r="L16" s="15">
        <f>IFERROR(SUM('Data Sheet'!K23:K24),0)</f>
        <v>39747.53</v>
      </c>
      <c r="M16" s="15">
        <f>IFERROR(SUM('Data Sheet'!L23:L24),0)</f>
        <v>0</v>
      </c>
    </row>
    <row r="17" spans="2:13" x14ac:dyDescent="0.35">
      <c r="B17" s="13" t="s">
        <v>66</v>
      </c>
      <c r="C17" s="14">
        <f t="shared" ref="C17:E17" si="8">C16/C7</f>
        <v>7.6660908908102038E-2</v>
      </c>
      <c r="D17" s="14">
        <f t="shared" si="8"/>
        <v>8.0040779911823637E-2</v>
      </c>
      <c r="E17" s="14">
        <f t="shared" si="8"/>
        <v>0.10672678849247161</v>
      </c>
      <c r="F17" s="14">
        <f>F16/F7</f>
        <v>0.12847809529452636</v>
      </c>
      <c r="G17" s="14">
        <f t="shared" ref="G17:M17" si="9">G16/G7</f>
        <v>0.10860201636437025</v>
      </c>
      <c r="H17" s="14">
        <f t="shared" si="9"/>
        <v>0.11402504616835751</v>
      </c>
      <c r="I17" s="14">
        <f t="shared" si="9"/>
        <v>0.12527323822987554</v>
      </c>
      <c r="J17" s="14">
        <f t="shared" si="9"/>
        <v>8.8798023177028354E-2</v>
      </c>
      <c r="K17" s="14">
        <f t="shared" si="9"/>
        <v>0.10929475436519734</v>
      </c>
      <c r="L17" s="14">
        <f t="shared" si="9"/>
        <v>0.11488822184383672</v>
      </c>
      <c r="M17" s="14">
        <f t="shared" si="9"/>
        <v>0</v>
      </c>
    </row>
    <row r="18" spans="2:13" x14ac:dyDescent="0.35"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2:13" x14ac:dyDescent="0.35">
      <c r="B19" s="24" t="s">
        <v>65</v>
      </c>
      <c r="C19" s="25">
        <f>C13-C16</f>
        <v>34853.359999999971</v>
      </c>
      <c r="D19" s="25">
        <f t="shared" ref="D19:E19" si="10">D13-D16</f>
        <v>39238.64999999998</v>
      </c>
      <c r="E19" s="25">
        <f t="shared" si="10"/>
        <v>38395.249999999971</v>
      </c>
      <c r="F19" s="25">
        <f>F13-F16</f>
        <v>29588.690000000046</v>
      </c>
      <c r="G19" s="25">
        <f t="shared" ref="G19:M19" si="11">G13-G16</f>
        <v>31457.679999999993</v>
      </c>
      <c r="H19" s="25">
        <f t="shared" si="11"/>
        <v>24664.330000000024</v>
      </c>
      <c r="I19" s="25">
        <f t="shared" si="11"/>
        <v>17987.069999999963</v>
      </c>
      <c r="J19" s="25">
        <f t="shared" si="11"/>
        <v>32287.429999999989</v>
      </c>
      <c r="K19" s="25">
        <f t="shared" si="11"/>
        <v>24720.090000000015</v>
      </c>
      <c r="L19" s="25">
        <f t="shared" si="11"/>
        <v>31815.799999999959</v>
      </c>
      <c r="M19" s="25">
        <f t="shared" si="11"/>
        <v>50919.300000000047</v>
      </c>
    </row>
    <row r="20" spans="2:13" x14ac:dyDescent="0.35">
      <c r="B20" s="13" t="s">
        <v>67</v>
      </c>
      <c r="C20" s="14">
        <f t="shared" ref="C20:E20" si="12">C19/C7</f>
        <v>0.14969210207836775</v>
      </c>
      <c r="D20" s="14">
        <f t="shared" si="12"/>
        <v>0.14910625508580397</v>
      </c>
      <c r="E20" s="14">
        <f t="shared" si="12"/>
        <v>0.14061845347443788</v>
      </c>
      <c r="F20" s="14">
        <f>F19/F7</f>
        <v>0.10971268723777329</v>
      </c>
      <c r="G20" s="14">
        <f t="shared" ref="G20:M20" si="13">G19/G7</f>
        <v>0.10789788444182975</v>
      </c>
      <c r="H20" s="14">
        <f t="shared" si="13"/>
        <v>8.1686628795807431E-2</v>
      </c>
      <c r="I20" s="14">
        <f t="shared" si="13"/>
        <v>6.8898034485042198E-2</v>
      </c>
      <c r="J20" s="14">
        <f t="shared" si="13"/>
        <v>0.12925583904385496</v>
      </c>
      <c r="K20" s="14">
        <f t="shared" si="13"/>
        <v>8.877632835227646E-2</v>
      </c>
      <c r="L20" s="14">
        <f t="shared" si="13"/>
        <v>9.1961958102532049E-2</v>
      </c>
      <c r="M20" s="14">
        <f t="shared" si="13"/>
        <v>0.12673262329235285</v>
      </c>
    </row>
    <row r="21" spans="2:13" x14ac:dyDescent="0.35"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2:13" x14ac:dyDescent="0.35">
      <c r="B22" t="s">
        <v>6</v>
      </c>
      <c r="C22" s="15">
        <f>IFERROR('Data Sheet'!B27,0)</f>
        <v>4749.4399999999996</v>
      </c>
      <c r="D22" s="15">
        <f>IFERROR('Data Sheet'!C27,0)</f>
        <v>4861.49</v>
      </c>
      <c r="E22" s="15">
        <f>IFERROR('Data Sheet'!D27,0)</f>
        <v>4889.08</v>
      </c>
      <c r="F22" s="15">
        <f>IFERROR('Data Sheet'!E27,0)</f>
        <v>4238.01</v>
      </c>
      <c r="G22" s="15">
        <f>IFERROR('Data Sheet'!F27,0)</f>
        <v>4681.79</v>
      </c>
      <c r="H22" s="15">
        <f>IFERROR('Data Sheet'!G27,0)</f>
        <v>5758.6</v>
      </c>
      <c r="I22" s="15">
        <f>IFERROR('Data Sheet'!H27,0)</f>
        <v>7243.33</v>
      </c>
      <c r="J22" s="15">
        <f>IFERROR('Data Sheet'!I27,0)</f>
        <v>8097.17</v>
      </c>
      <c r="K22" s="15">
        <f>IFERROR('Data Sheet'!J27,0)</f>
        <v>9311.86</v>
      </c>
      <c r="L22" s="15">
        <f>IFERROR('Data Sheet'!K27,0)</f>
        <v>10225.48</v>
      </c>
      <c r="M22" s="15">
        <f>IFERROR(SUM('Data Sheet'!H46:K46),0)</f>
        <v>10584.58</v>
      </c>
    </row>
    <row r="23" spans="2:13" x14ac:dyDescent="0.35">
      <c r="B23" s="13" t="s">
        <v>68</v>
      </c>
      <c r="C23" s="14">
        <f t="shared" ref="C23:E23" si="14">C22/C7</f>
        <v>2.0398425210512945E-2</v>
      </c>
      <c r="D23" s="14">
        <f t="shared" si="14"/>
        <v>1.8473585814932098E-2</v>
      </c>
      <c r="E23" s="14">
        <f t="shared" si="14"/>
        <v>1.7905727101993223E-2</v>
      </c>
      <c r="F23" s="14">
        <f>F22/F7</f>
        <v>1.5714229512714312E-2</v>
      </c>
      <c r="G23" s="14">
        <f t="shared" ref="G23:M23" si="15">G22/G7</f>
        <v>1.605824830060304E-2</v>
      </c>
      <c r="H23" s="14">
        <f t="shared" si="15"/>
        <v>1.9072102124141878E-2</v>
      </c>
      <c r="I23" s="14">
        <f t="shared" si="15"/>
        <v>2.7744996829752802E-2</v>
      </c>
      <c r="J23" s="14">
        <f t="shared" si="15"/>
        <v>3.2415292955516477E-2</v>
      </c>
      <c r="K23" s="14">
        <f t="shared" si="15"/>
        <v>3.3441332168710897E-2</v>
      </c>
      <c r="L23" s="14">
        <f t="shared" si="15"/>
        <v>2.9556231914277829E-2</v>
      </c>
      <c r="M23" s="14">
        <f t="shared" si="15"/>
        <v>2.6343873341695013E-2</v>
      </c>
    </row>
    <row r="24" spans="2:13" x14ac:dyDescent="0.35"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2:13" x14ac:dyDescent="0.35">
      <c r="B25" t="s">
        <v>5</v>
      </c>
      <c r="C25" s="15">
        <f>IFERROR('Data Sheet'!B26,0)</f>
        <v>11078.16</v>
      </c>
      <c r="D25" s="15">
        <f>IFERROR('Data Sheet'!C26,0)</f>
        <v>13388.63</v>
      </c>
      <c r="E25" s="15">
        <f>IFERROR('Data Sheet'!D26,0)</f>
        <v>16710.78</v>
      </c>
      <c r="F25" s="15">
        <f>IFERROR('Data Sheet'!E26,0)</f>
        <v>17904.990000000002</v>
      </c>
      <c r="G25" s="15">
        <f>IFERROR('Data Sheet'!F26,0)</f>
        <v>21553.59</v>
      </c>
      <c r="H25" s="15">
        <f>IFERROR('Data Sheet'!G26,0)</f>
        <v>23590.63</v>
      </c>
      <c r="I25" s="15">
        <f>IFERROR('Data Sheet'!H26,0)</f>
        <v>21425.43</v>
      </c>
      <c r="J25" s="15">
        <f>IFERROR('Data Sheet'!I26,0)</f>
        <v>23546.71</v>
      </c>
      <c r="K25" s="15">
        <f>IFERROR('Data Sheet'!J26,0)</f>
        <v>24835.69</v>
      </c>
      <c r="L25" s="15">
        <f>IFERROR('Data Sheet'!K26,0)</f>
        <v>24860.36</v>
      </c>
      <c r="M25" s="15">
        <f>IFERROR('Data Sheet'!L26,0)</f>
        <v>0</v>
      </c>
    </row>
    <row r="26" spans="2:13" x14ac:dyDescent="0.35">
      <c r="B26" s="13" t="s">
        <v>69</v>
      </c>
      <c r="C26" s="14">
        <f t="shared" ref="C26:E26" si="16">C25/C7</f>
        <v>4.757971849946438E-2</v>
      </c>
      <c r="D26" s="14">
        <f t="shared" si="16"/>
        <v>5.0876584184966822E-2</v>
      </c>
      <c r="E26" s="14">
        <f t="shared" si="16"/>
        <v>6.1201425695927715E-2</v>
      </c>
      <c r="F26" s="14">
        <f>F25/F7</f>
        <v>6.63903865924938E-2</v>
      </c>
      <c r="G26" s="14">
        <f t="shared" ref="G26:M26" si="17">G25/G7</f>
        <v>7.3927472182518786E-2</v>
      </c>
      <c r="H26" s="14">
        <f t="shared" si="17"/>
        <v>7.8130605447998658E-2</v>
      </c>
      <c r="I26" s="14">
        <f t="shared" si="17"/>
        <v>8.206839774331566E-2</v>
      </c>
      <c r="J26" s="14">
        <f t="shared" si="17"/>
        <v>9.4264230933596482E-2</v>
      </c>
      <c r="K26" s="14">
        <f t="shared" si="17"/>
        <v>8.9191478279219347E-2</v>
      </c>
      <c r="L26" s="14">
        <f t="shared" si="17"/>
        <v>7.1857611147098821E-2</v>
      </c>
      <c r="M26" s="14">
        <f t="shared" si="17"/>
        <v>0</v>
      </c>
    </row>
    <row r="27" spans="2:13" x14ac:dyDescent="0.35"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2:13" x14ac:dyDescent="0.35">
      <c r="B28" s="24" t="s">
        <v>71</v>
      </c>
      <c r="C28" s="25">
        <f t="shared" ref="C28:E28" si="18">IFERROR(C19-C22-C25,0)</f>
        <v>19025.759999999973</v>
      </c>
      <c r="D28" s="25">
        <f t="shared" si="18"/>
        <v>20988.529999999984</v>
      </c>
      <c r="E28" s="25">
        <f t="shared" si="18"/>
        <v>16795.38999999997</v>
      </c>
      <c r="F28" s="25">
        <f>IFERROR(F19-F22-F25,0)</f>
        <v>7445.6900000000423</v>
      </c>
      <c r="G28" s="25">
        <f t="shared" ref="G28:M28" si="19">IFERROR(G19-G22-G25,0)</f>
        <v>5222.299999999992</v>
      </c>
      <c r="H28" s="25">
        <f t="shared" si="19"/>
        <v>-4684.899999999976</v>
      </c>
      <c r="I28" s="25">
        <f t="shared" si="19"/>
        <v>-10681.690000000037</v>
      </c>
      <c r="J28" s="25">
        <f t="shared" si="19"/>
        <v>643.54999999998836</v>
      </c>
      <c r="K28" s="25">
        <f t="shared" si="19"/>
        <v>-9427.4599999999846</v>
      </c>
      <c r="L28" s="25">
        <f t="shared" si="19"/>
        <v>-3270.0400000000409</v>
      </c>
      <c r="M28" s="25">
        <f t="shared" si="19"/>
        <v>40334.720000000045</v>
      </c>
    </row>
    <row r="29" spans="2:13" x14ac:dyDescent="0.35">
      <c r="B29" s="13" t="s">
        <v>72</v>
      </c>
      <c r="C29" s="14">
        <f>C28/C7</f>
        <v>8.1713958368390432E-2</v>
      </c>
      <c r="D29" s="14">
        <f t="shared" ref="D29:M29" si="20">D28/D7</f>
        <v>7.9756085085905051E-2</v>
      </c>
      <c r="E29" s="14">
        <f t="shared" si="20"/>
        <v>6.1511300676516931E-2</v>
      </c>
      <c r="F29" s="14">
        <f t="shared" si="20"/>
        <v>2.7608071132565165E-2</v>
      </c>
      <c r="G29" s="14">
        <f t="shared" si="20"/>
        <v>1.7912163958707913E-2</v>
      </c>
      <c r="H29" s="14">
        <f t="shared" si="20"/>
        <v>-1.5516078776333105E-2</v>
      </c>
      <c r="I29" s="14">
        <f t="shared" si="20"/>
        <v>-4.0915360088026258E-2</v>
      </c>
      <c r="J29" s="14">
        <f t="shared" si="20"/>
        <v>2.5763151547419966E-3</v>
      </c>
      <c r="K29" s="14">
        <f t="shared" si="20"/>
        <v>-3.3856482095653791E-2</v>
      </c>
      <c r="L29" s="14">
        <f t="shared" si="20"/>
        <v>-9.4518849588445999E-3</v>
      </c>
      <c r="M29" s="14">
        <f t="shared" si="20"/>
        <v>0.10038874995065783</v>
      </c>
    </row>
    <row r="31" spans="2:13" x14ac:dyDescent="0.35">
      <c r="B31" t="s">
        <v>73</v>
      </c>
      <c r="C31" s="15">
        <f>IFERROR('Data Sheet'!B29,0)</f>
        <v>4764.79</v>
      </c>
      <c r="D31" s="15">
        <f>IFERROR('Data Sheet'!C29,0)</f>
        <v>7642.91</v>
      </c>
      <c r="E31" s="15">
        <f>IFERROR('Data Sheet'!D29,0)</f>
        <v>3025.05</v>
      </c>
      <c r="F31" s="15">
        <f>IFERROR('Data Sheet'!E29,0)</f>
        <v>3251.23</v>
      </c>
      <c r="G31" s="15">
        <f>IFERROR('Data Sheet'!F29,0)</f>
        <v>4341.93</v>
      </c>
      <c r="H31" s="15">
        <f>IFERROR('Data Sheet'!G29,0)</f>
        <v>-2437.4499999999998</v>
      </c>
      <c r="I31" s="15">
        <f>IFERROR('Data Sheet'!H29,0)</f>
        <v>395.25</v>
      </c>
      <c r="J31" s="15">
        <f>IFERROR('Data Sheet'!I29,0)</f>
        <v>2541.86</v>
      </c>
      <c r="K31" s="15">
        <f>IFERROR('Data Sheet'!J29,0)</f>
        <v>4231.29</v>
      </c>
      <c r="L31" s="15">
        <f>IFERROR('Data Sheet'!K29,0)</f>
        <v>704.06</v>
      </c>
      <c r="M31" s="15">
        <f>IFERROR(SUM('Data Sheet'!H29:K29),0)</f>
        <v>7872.4599999999991</v>
      </c>
    </row>
    <row r="32" spans="2:13" x14ac:dyDescent="0.35">
      <c r="B32" s="13" t="s">
        <v>74</v>
      </c>
      <c r="C32" s="14">
        <f>C31/C28</f>
        <v>0.25043887865714731</v>
      </c>
      <c r="D32" s="14">
        <f t="shared" ref="D32:M32" si="21">D31/D28</f>
        <v>0.36414698885534175</v>
      </c>
      <c r="E32" s="14">
        <f t="shared" si="21"/>
        <v>0.18011192356950362</v>
      </c>
      <c r="F32" s="14">
        <f t="shared" si="21"/>
        <v>0.43665932908836946</v>
      </c>
      <c r="G32" s="14">
        <f t="shared" si="21"/>
        <v>0.8314210213890445</v>
      </c>
      <c r="H32" s="14">
        <f t="shared" si="21"/>
        <v>0.52027791414971769</v>
      </c>
      <c r="I32" s="14">
        <f t="shared" si="21"/>
        <v>-3.7002571690434624E-2</v>
      </c>
      <c r="J32" s="14">
        <f t="shared" si="21"/>
        <v>3.9497474943672537</v>
      </c>
      <c r="K32" s="14">
        <f t="shared" si="21"/>
        <v>-0.44882608889350967</v>
      </c>
      <c r="L32" s="14">
        <f t="shared" si="21"/>
        <v>-0.2153062347861161</v>
      </c>
      <c r="M32" s="14">
        <f t="shared" si="21"/>
        <v>0.19517824841724427</v>
      </c>
    </row>
    <row r="34" spans="1:13" x14ac:dyDescent="0.35">
      <c r="B34" s="24" t="s">
        <v>75</v>
      </c>
      <c r="C34" s="25">
        <f>C28-C31</f>
        <v>14260.969999999972</v>
      </c>
      <c r="D34" s="25">
        <f t="shared" ref="D34:M34" si="22">D28-D31</f>
        <v>13345.619999999984</v>
      </c>
      <c r="E34" s="25">
        <f t="shared" si="22"/>
        <v>13770.339999999971</v>
      </c>
      <c r="F34" s="25">
        <f t="shared" si="22"/>
        <v>4194.4600000000428</v>
      </c>
      <c r="G34" s="25">
        <f t="shared" si="22"/>
        <v>880.36999999999171</v>
      </c>
      <c r="H34" s="25">
        <f t="shared" si="22"/>
        <v>-2247.4499999999762</v>
      </c>
      <c r="I34" s="25">
        <f t="shared" si="22"/>
        <v>-11076.940000000037</v>
      </c>
      <c r="J34" s="25">
        <f t="shared" si="22"/>
        <v>-1898.3100000000118</v>
      </c>
      <c r="K34" s="25">
        <f t="shared" si="22"/>
        <v>-13658.749999999985</v>
      </c>
      <c r="L34" s="25">
        <f t="shared" si="22"/>
        <v>-3974.1000000000408</v>
      </c>
      <c r="M34" s="25">
        <f t="shared" si="22"/>
        <v>32462.260000000046</v>
      </c>
    </row>
    <row r="35" spans="1:13" x14ac:dyDescent="0.35">
      <c r="B35" s="13" t="s">
        <v>76</v>
      </c>
      <c r="C35" s="14">
        <f>C34/C7</f>
        <v>6.124960626397391E-2</v>
      </c>
      <c r="D35" s="14">
        <f t="shared" ref="D35:M35" si="23">D34/D7</f>
        <v>5.0713146858982296E-2</v>
      </c>
      <c r="E35" s="14">
        <f t="shared" si="23"/>
        <v>5.0432381990407359E-2</v>
      </c>
      <c r="F35" s="14">
        <f t="shared" si="23"/>
        <v>1.5552749314395282E-2</v>
      </c>
      <c r="G35" s="14">
        <f t="shared" si="23"/>
        <v>3.01961430487095E-3</v>
      </c>
      <c r="H35" s="14">
        <f t="shared" si="23"/>
        <v>-7.4434056747998134E-3</v>
      </c>
      <c r="I35" s="14">
        <f t="shared" si="23"/>
        <v>-4.2429333632923401E-2</v>
      </c>
      <c r="J35" s="14">
        <f t="shared" si="23"/>
        <v>-7.5994791724005879E-3</v>
      </c>
      <c r="K35" s="14">
        <f t="shared" si="23"/>
        <v>-4.9052154538339221E-2</v>
      </c>
      <c r="L35" s="14">
        <f t="shared" si="23"/>
        <v>-1.1486934720964955E-2</v>
      </c>
      <c r="M35" s="14">
        <f t="shared" si="23"/>
        <v>8.0795049574491726E-2</v>
      </c>
    </row>
    <row r="37" spans="1:13" x14ac:dyDescent="0.35">
      <c r="B37" t="s">
        <v>78</v>
      </c>
      <c r="C37" s="15">
        <f>IFERROR('Data Sheet'!B93,0)</f>
        <v>288.74</v>
      </c>
      <c r="D37" s="15">
        <f>IFERROR('Data Sheet'!C93,0)</f>
        <v>288.74</v>
      </c>
      <c r="E37" s="15">
        <f>IFERROR('Data Sheet'!D93,0)</f>
        <v>288.72000000000003</v>
      </c>
      <c r="F37" s="15">
        <f>IFERROR('Data Sheet'!E93,0)</f>
        <v>288.73</v>
      </c>
      <c r="G37" s="15">
        <f>IFERROR('Data Sheet'!F93,0)</f>
        <v>288.73</v>
      </c>
      <c r="H37" s="15">
        <f>IFERROR('Data Sheet'!G93,0)</f>
        <v>288.73</v>
      </c>
      <c r="I37" s="15">
        <f>IFERROR('Data Sheet'!H93,0)</f>
        <v>308.89999999999998</v>
      </c>
      <c r="J37" s="15">
        <f>IFERROR('Data Sheet'!I93,0)</f>
        <v>332.03</v>
      </c>
      <c r="K37" s="15">
        <f>IFERROR('Data Sheet'!J93,0)</f>
        <v>332.07</v>
      </c>
      <c r="L37" s="15">
        <f>IFERROR('Data Sheet'!K93,0)</f>
        <v>332.13</v>
      </c>
      <c r="M37" s="15"/>
    </row>
    <row r="38" spans="1:13" x14ac:dyDescent="0.35"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x14ac:dyDescent="0.35">
      <c r="B39" t="s">
        <v>77</v>
      </c>
      <c r="C39" s="15">
        <f>IFERROR(C34/C37,0)</f>
        <v>49.390351180993186</v>
      </c>
      <c r="D39" s="15">
        <f t="shared" ref="D39:L39" si="24">IFERROR(D34/D37,0)</f>
        <v>46.22019810209872</v>
      </c>
      <c r="E39" s="15">
        <f t="shared" si="24"/>
        <v>47.694444444444336</v>
      </c>
      <c r="F39" s="15">
        <f t="shared" si="24"/>
        <v>14.527274616423796</v>
      </c>
      <c r="G39" s="15">
        <f t="shared" si="24"/>
        <v>3.049111626779315</v>
      </c>
      <c r="H39" s="15">
        <f t="shared" si="24"/>
        <v>-7.783915769057514</v>
      </c>
      <c r="I39" s="15">
        <f t="shared" si="24"/>
        <v>-35.859307219164897</v>
      </c>
      <c r="J39" s="15">
        <f t="shared" si="24"/>
        <v>-5.7172845827184648</v>
      </c>
      <c r="K39" s="15">
        <f t="shared" si="24"/>
        <v>-41.132140813683819</v>
      </c>
      <c r="L39" s="15">
        <f t="shared" si="24"/>
        <v>-11.965495438533228</v>
      </c>
      <c r="M39" s="15">
        <f>IFERROR(M34/M37,0)</f>
        <v>0</v>
      </c>
    </row>
    <row r="40" spans="1:13" x14ac:dyDescent="0.35">
      <c r="B40" s="13" t="s">
        <v>79</v>
      </c>
      <c r="C40" s="14"/>
      <c r="D40" s="14">
        <f>(D39/C39)-1</f>
        <v>-6.418567600941516E-2</v>
      </c>
      <c r="E40" s="14">
        <f t="shared" ref="E40:M40" si="25">(E39/D39)-1</f>
        <v>3.1896149365025606E-2</v>
      </c>
      <c r="F40" s="14">
        <f t="shared" si="25"/>
        <v>-0.6954095013446373</v>
      </c>
      <c r="G40" s="14">
        <f t="shared" si="25"/>
        <v>-0.79011124197155702</v>
      </c>
      <c r="H40" s="14">
        <f t="shared" si="25"/>
        <v>-3.5528470983790879</v>
      </c>
      <c r="I40" s="14">
        <f t="shared" si="25"/>
        <v>3.6068467700681177</v>
      </c>
      <c r="J40" s="14">
        <f t="shared" si="25"/>
        <v>-0.84056344011958828</v>
      </c>
      <c r="K40" s="14">
        <f t="shared" si="25"/>
        <v>6.194349033807625</v>
      </c>
      <c r="L40" s="14">
        <f t="shared" si="25"/>
        <v>-0.70909621522659583</v>
      </c>
      <c r="M40" s="14">
        <f t="shared" si="25"/>
        <v>-1</v>
      </c>
    </row>
    <row r="42" spans="1:13" x14ac:dyDescent="0.35">
      <c r="B42" t="s">
        <v>80</v>
      </c>
      <c r="C42" s="15">
        <f>IFERROR('Data Sheet'!B31/'Historical FS'!C37,0)</f>
        <v>2.2296183417607534</v>
      </c>
      <c r="D42" s="15">
        <f>IFERROR('Data Sheet'!C31/'Historical FS'!D37,0)</f>
        <v>0</v>
      </c>
      <c r="E42" s="15">
        <f>IFERROR('Data Sheet'!D31/'Historical FS'!E37,0)</f>
        <v>0.23524522028262676</v>
      </c>
      <c r="F42" s="15">
        <f>IFERROR('Data Sheet'!E31/'Historical FS'!F37,0)</f>
        <v>0</v>
      </c>
      <c r="G42" s="15">
        <f>IFERROR('Data Sheet'!F31/'Historical FS'!G37,0)</f>
        <v>0</v>
      </c>
      <c r="H42" s="15">
        <f>IFERROR('Data Sheet'!G31/'Historical FS'!H37,0)</f>
        <v>0</v>
      </c>
      <c r="I42" s="15">
        <f>IFERROR('Data Sheet'!H31/'Historical FS'!I37,0)</f>
        <v>0</v>
      </c>
      <c r="J42" s="15">
        <f>IFERROR('Data Sheet'!I31/'Historical FS'!J37,0)</f>
        <v>0</v>
      </c>
      <c r="K42" s="15">
        <f>IFERROR('Data Sheet'!J31/'Historical FS'!K37,0)</f>
        <v>0</v>
      </c>
      <c r="L42" s="15">
        <f>IFERROR('Data Sheet'!K31/'Historical FS'!L37,0)</f>
        <v>2.3063860536536898</v>
      </c>
      <c r="M42" s="15">
        <f>IFERROR('Data Sheet'!L31/'Historical FS'!M37,0)</f>
        <v>0</v>
      </c>
    </row>
    <row r="43" spans="1:13" x14ac:dyDescent="0.35">
      <c r="B43" s="13" t="s">
        <v>81</v>
      </c>
      <c r="C43" s="14">
        <f>IFERROR(C42/C39,0)</f>
        <v>4.5142791829728357E-2</v>
      </c>
      <c r="D43" s="14">
        <f t="shared" ref="D43:M43" si="26">IFERROR(D42/D39,0)</f>
        <v>0</v>
      </c>
      <c r="E43" s="14">
        <f t="shared" si="26"/>
        <v>4.9323400874633563E-3</v>
      </c>
      <c r="F43" s="14">
        <f t="shared" si="26"/>
        <v>0</v>
      </c>
      <c r="G43" s="14">
        <f t="shared" si="26"/>
        <v>0</v>
      </c>
      <c r="H43" s="14">
        <f t="shared" si="26"/>
        <v>0</v>
      </c>
      <c r="I43" s="14">
        <f t="shared" si="26"/>
        <v>0</v>
      </c>
      <c r="J43" s="14">
        <f t="shared" si="26"/>
        <v>0</v>
      </c>
      <c r="K43" s="14">
        <f t="shared" si="26"/>
        <v>0</v>
      </c>
      <c r="L43" s="14">
        <f t="shared" si="26"/>
        <v>-0.19275307616818702</v>
      </c>
      <c r="M43" s="14">
        <f t="shared" si="26"/>
        <v>0</v>
      </c>
    </row>
    <row r="45" spans="1:13" x14ac:dyDescent="0.35">
      <c r="B45" t="s">
        <v>82</v>
      </c>
      <c r="C45" s="17">
        <f>IFERROR(IF(C39&gt;C42,1-C43,0),0)</f>
        <v>0.95485720817027164</v>
      </c>
      <c r="D45" s="17">
        <f t="shared" ref="D45:M45" si="27">IFERROR(IF(D39&gt;D42,1-D43,0),0)</f>
        <v>1</v>
      </c>
      <c r="E45" s="17">
        <f t="shared" si="27"/>
        <v>0.99506765991253665</v>
      </c>
      <c r="F45" s="17">
        <f t="shared" si="27"/>
        <v>1</v>
      </c>
      <c r="G45" s="17">
        <f t="shared" si="27"/>
        <v>1</v>
      </c>
      <c r="H45" s="17">
        <f t="shared" si="27"/>
        <v>0</v>
      </c>
      <c r="I45" s="17">
        <f t="shared" si="27"/>
        <v>0</v>
      </c>
      <c r="J45" s="17">
        <f t="shared" si="27"/>
        <v>0</v>
      </c>
      <c r="K45" s="17">
        <f t="shared" si="27"/>
        <v>0</v>
      </c>
      <c r="L45" s="17">
        <f t="shared" si="27"/>
        <v>0</v>
      </c>
      <c r="M45" s="17">
        <f t="shared" si="27"/>
        <v>0</v>
      </c>
    </row>
    <row r="47" spans="1:13" x14ac:dyDescent="0.35">
      <c r="A47" t="s">
        <v>58</v>
      </c>
      <c r="B47" s="18" t="s">
        <v>83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3" x14ac:dyDescent="0.35">
      <c r="B48" s="3" t="s">
        <v>10</v>
      </c>
      <c r="C48" s="15">
        <f>IFERROR('Data Sheet'!B57,0)</f>
        <v>643.78</v>
      </c>
      <c r="D48" s="15">
        <f>IFERROR('Data Sheet'!C57,0)</f>
        <v>643.78</v>
      </c>
      <c r="E48" s="15">
        <f>IFERROR('Data Sheet'!D57,0)</f>
        <v>679.18</v>
      </c>
      <c r="F48" s="15">
        <f>IFERROR('Data Sheet'!E57,0)</f>
        <v>679.22</v>
      </c>
      <c r="G48" s="15">
        <f>IFERROR('Data Sheet'!F57,0)</f>
        <v>679.22</v>
      </c>
      <c r="H48" s="15">
        <f>IFERROR('Data Sheet'!G57,0)</f>
        <v>679.22</v>
      </c>
      <c r="I48" s="15">
        <f>IFERROR('Data Sheet'!H57,0)</f>
        <v>719.54</v>
      </c>
      <c r="J48" s="15">
        <f>IFERROR('Data Sheet'!I57,0)</f>
        <v>765.81</v>
      </c>
      <c r="K48" s="15">
        <f>IFERROR('Data Sheet'!J57,0)</f>
        <v>765.88</v>
      </c>
      <c r="L48" s="15">
        <f>IFERROR('Data Sheet'!K57,0)</f>
        <v>766.02</v>
      </c>
    </row>
    <row r="49" spans="2:12" x14ac:dyDescent="0.35">
      <c r="B49" s="3" t="s">
        <v>11</v>
      </c>
      <c r="C49" s="15">
        <f>IFERROR('Data Sheet'!B58,0)</f>
        <v>64959.67</v>
      </c>
      <c r="D49" s="15">
        <f>IFERROR('Data Sheet'!C58,0)</f>
        <v>55618.14</v>
      </c>
      <c r="E49" s="15">
        <f>IFERROR('Data Sheet'!D58,0)</f>
        <v>78273.23</v>
      </c>
      <c r="F49" s="15">
        <f>IFERROR('Data Sheet'!E58,0)</f>
        <v>57382.67</v>
      </c>
      <c r="G49" s="15">
        <f>IFERROR('Data Sheet'!F58,0)</f>
        <v>94748.69</v>
      </c>
      <c r="H49" s="15">
        <f>IFERROR('Data Sheet'!G58,0)</f>
        <v>59500.34</v>
      </c>
      <c r="I49" s="15">
        <f>IFERROR('Data Sheet'!H58,0)</f>
        <v>61491.49</v>
      </c>
      <c r="J49" s="15">
        <f>IFERROR('Data Sheet'!I58,0)</f>
        <v>54480.91</v>
      </c>
      <c r="K49" s="15">
        <f>IFERROR('Data Sheet'!J58,0)</f>
        <v>43795.360000000001</v>
      </c>
      <c r="L49" s="15">
        <f>IFERROR('Data Sheet'!K58,0)</f>
        <v>44555.77</v>
      </c>
    </row>
    <row r="50" spans="2:12" x14ac:dyDescent="0.35">
      <c r="B50" s="3" t="s">
        <v>35</v>
      </c>
      <c r="C50" s="15">
        <f>IFERROR('Data Sheet'!B59,0)</f>
        <v>60642.28</v>
      </c>
      <c r="D50" s="15">
        <f>IFERROR('Data Sheet'!C59,0)</f>
        <v>73610.39</v>
      </c>
      <c r="E50" s="15">
        <f>IFERROR('Data Sheet'!D59,0)</f>
        <v>69359.960000000006</v>
      </c>
      <c r="F50" s="15">
        <f>IFERROR('Data Sheet'!E59,0)</f>
        <v>78603.98</v>
      </c>
      <c r="G50" s="15">
        <f>IFERROR('Data Sheet'!F59,0)</f>
        <v>88950.47</v>
      </c>
      <c r="H50" s="15">
        <f>IFERROR('Data Sheet'!G59,0)</f>
        <v>106175.34</v>
      </c>
      <c r="I50" s="15">
        <f>IFERROR('Data Sheet'!H59,0)</f>
        <v>124787.64</v>
      </c>
      <c r="J50" s="15">
        <f>IFERROR('Data Sheet'!I59,0)</f>
        <v>142130.57</v>
      </c>
      <c r="K50" s="15">
        <f>IFERROR('Data Sheet'!J59,0)</f>
        <v>146449.03</v>
      </c>
      <c r="L50" s="15">
        <f>IFERROR('Data Sheet'!K59,0)</f>
        <v>134113.44</v>
      </c>
    </row>
    <row r="51" spans="2:12" x14ac:dyDescent="0.35">
      <c r="B51" s="3" t="s">
        <v>36</v>
      </c>
      <c r="C51" s="15">
        <f>IFERROR('Data Sheet'!B60,0)</f>
        <v>92180.26</v>
      </c>
      <c r="D51" s="15">
        <f>IFERROR('Data Sheet'!C60,0)</f>
        <v>107442.48</v>
      </c>
      <c r="E51" s="15">
        <f>IFERROR('Data Sheet'!D60,0)</f>
        <v>114871.75</v>
      </c>
      <c r="F51" s="15">
        <f>IFERROR('Data Sheet'!E60,0)</f>
        <v>135914.49</v>
      </c>
      <c r="G51" s="15">
        <f>IFERROR('Data Sheet'!F60,0)</f>
        <v>142813.43</v>
      </c>
      <c r="H51" s="15">
        <f>IFERROR('Data Sheet'!G60,0)</f>
        <v>139348.59</v>
      </c>
      <c r="I51" s="15">
        <f>IFERROR('Data Sheet'!H60,0)</f>
        <v>133180.72</v>
      </c>
      <c r="J51" s="15">
        <f>IFERROR('Data Sheet'!I60,0)</f>
        <v>144192.62</v>
      </c>
      <c r="K51" s="15">
        <f>IFERROR('Data Sheet'!J60,0)</f>
        <v>138051.22</v>
      </c>
      <c r="L51" s="15">
        <f>IFERROR('Data Sheet'!K60,0)</f>
        <v>155239.20000000001</v>
      </c>
    </row>
    <row r="52" spans="2:12" x14ac:dyDescent="0.35">
      <c r="B52" s="24" t="s">
        <v>84</v>
      </c>
      <c r="C52" s="25">
        <f>IFERROR('Data Sheet'!B61,0)</f>
        <v>218425.99</v>
      </c>
      <c r="D52" s="25">
        <f>IFERROR('Data Sheet'!C61,0)</f>
        <v>237314.79</v>
      </c>
      <c r="E52" s="25">
        <f>IFERROR('Data Sheet'!D61,0)</f>
        <v>263184.12</v>
      </c>
      <c r="F52" s="25">
        <f>IFERROR('Data Sheet'!E61,0)</f>
        <v>272580.36</v>
      </c>
      <c r="G52" s="25">
        <f>IFERROR('Data Sheet'!F61,0)</f>
        <v>327191.81</v>
      </c>
      <c r="H52" s="25">
        <f>IFERROR('Data Sheet'!G61,0)</f>
        <v>305703.49</v>
      </c>
      <c r="I52" s="25">
        <f>IFERROR('Data Sheet'!H61,0)</f>
        <v>320179.39</v>
      </c>
      <c r="J52" s="25">
        <f>IFERROR('Data Sheet'!I61,0)</f>
        <v>341569.91</v>
      </c>
      <c r="K52" s="25">
        <f>IFERROR('Data Sheet'!J61,0)</f>
        <v>329061.49</v>
      </c>
      <c r="L52" s="25">
        <f>IFERROR('Data Sheet'!K61,0)</f>
        <v>334674.43</v>
      </c>
    </row>
    <row r="53" spans="2:12" x14ac:dyDescent="0.35"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spans="2:12" x14ac:dyDescent="0.35">
      <c r="B54" s="3" t="s">
        <v>85</v>
      </c>
      <c r="C54" s="15">
        <f>IFERROR('Data Sheet'!B62,0)</f>
        <v>69091.67</v>
      </c>
      <c r="D54" s="15">
        <f>IFERROR('Data Sheet'!C62,0)</f>
        <v>88479.49</v>
      </c>
      <c r="E54" s="15">
        <f>IFERROR('Data Sheet'!D62,0)</f>
        <v>107231.76</v>
      </c>
      <c r="F54" s="15">
        <f>IFERROR('Data Sheet'!E62,0)</f>
        <v>95944.08</v>
      </c>
      <c r="G54" s="15">
        <f>IFERROR('Data Sheet'!F62,0)</f>
        <v>121413.86</v>
      </c>
      <c r="H54" s="15">
        <f>IFERROR('Data Sheet'!G62,0)</f>
        <v>111234.47</v>
      </c>
      <c r="I54" s="15">
        <f>IFERROR('Data Sheet'!H62,0)</f>
        <v>127107.14</v>
      </c>
      <c r="J54" s="15">
        <f>IFERROR('Data Sheet'!I62,0)</f>
        <v>138707.60999999999</v>
      </c>
      <c r="K54" s="15">
        <f>IFERROR('Data Sheet'!J62,0)</f>
        <v>138855.45000000001</v>
      </c>
      <c r="L54" s="15">
        <f>IFERROR('Data Sheet'!K62,0)</f>
        <v>132079.76</v>
      </c>
    </row>
    <row r="55" spans="2:12" x14ac:dyDescent="0.35">
      <c r="B55" s="3" t="s">
        <v>14</v>
      </c>
      <c r="C55" s="15">
        <f>IFERROR('Data Sheet'!B63,0)</f>
        <v>33262.559999999998</v>
      </c>
      <c r="D55" s="15">
        <f>IFERROR('Data Sheet'!C63,0)</f>
        <v>28640.09</v>
      </c>
      <c r="E55" s="15">
        <f>IFERROR('Data Sheet'!D63,0)</f>
        <v>25918.94</v>
      </c>
      <c r="F55" s="15">
        <f>IFERROR('Data Sheet'!E63,0)</f>
        <v>33698.839999999997</v>
      </c>
      <c r="G55" s="15">
        <f>IFERROR('Data Sheet'!F63,0)</f>
        <v>40033.5</v>
      </c>
      <c r="H55" s="15">
        <f>IFERROR('Data Sheet'!G63,0)</f>
        <v>31883.84</v>
      </c>
      <c r="I55" s="15">
        <f>IFERROR('Data Sheet'!H63,0)</f>
        <v>35622.29</v>
      </c>
      <c r="J55" s="15">
        <f>IFERROR('Data Sheet'!I63,0)</f>
        <v>20963.93</v>
      </c>
      <c r="K55" s="15">
        <f>IFERROR('Data Sheet'!J63,0)</f>
        <v>10251.09</v>
      </c>
      <c r="L55" s="15">
        <f>IFERROR('Data Sheet'!K63,0)</f>
        <v>14274.5</v>
      </c>
    </row>
    <row r="56" spans="2:12" x14ac:dyDescent="0.35">
      <c r="B56" s="3" t="s">
        <v>15</v>
      </c>
      <c r="C56" s="15">
        <f>IFERROR('Data Sheet'!B64,0)</f>
        <v>10686.67</v>
      </c>
      <c r="D56" s="15">
        <f>IFERROR('Data Sheet'!C64,0)</f>
        <v>15336.74</v>
      </c>
      <c r="E56" s="15">
        <f>IFERROR('Data Sheet'!D64,0)</f>
        <v>23767.02</v>
      </c>
      <c r="F56" s="15">
        <f>IFERROR('Data Sheet'!E64,0)</f>
        <v>20337.919999999998</v>
      </c>
      <c r="G56" s="15">
        <f>IFERROR('Data Sheet'!F64,0)</f>
        <v>20812.75</v>
      </c>
      <c r="H56" s="15">
        <f>IFERROR('Data Sheet'!G64,0)</f>
        <v>15770.72</v>
      </c>
      <c r="I56" s="15">
        <f>IFERROR('Data Sheet'!H64,0)</f>
        <v>16308.48</v>
      </c>
      <c r="J56" s="15">
        <f>IFERROR('Data Sheet'!I64,0)</f>
        <v>24620.28</v>
      </c>
      <c r="K56" s="15">
        <f>IFERROR('Data Sheet'!J64,0)</f>
        <v>29379.53</v>
      </c>
      <c r="L56" s="15">
        <f>IFERROR('Data Sheet'!K64,0)</f>
        <v>26379.16</v>
      </c>
    </row>
    <row r="57" spans="2:12" x14ac:dyDescent="0.35">
      <c r="B57" s="3" t="s">
        <v>37</v>
      </c>
      <c r="C57" s="15">
        <f>IFERROR('Data Sheet'!B65-SUM('Data Sheet'!B67:B69),0)</f>
        <v>37828.179999999993</v>
      </c>
      <c r="D57" s="15">
        <f>IFERROR('Data Sheet'!C65-SUM('Data Sheet'!C67:C69),0)</f>
        <v>30891.17</v>
      </c>
      <c r="E57" s="15">
        <f>IFERROR('Data Sheet'!D65-SUM('Data Sheet'!D67:D69),0)</f>
        <v>29579.359999999986</v>
      </c>
      <c r="F57" s="15">
        <f>IFERROR('Data Sheet'!E65-SUM('Data Sheet'!E67:E69),0)</f>
        <v>37360.780000000013</v>
      </c>
      <c r="G57" s="15">
        <f>IFERROR('Data Sheet'!F65-SUM('Data Sheet'!F67:F69),0)</f>
        <v>48286.860000000015</v>
      </c>
      <c r="H57" s="15">
        <f>IFERROR('Data Sheet'!G65-SUM('Data Sheet'!G67:G69),0)</f>
        <v>56155.739999999991</v>
      </c>
      <c r="I57" s="15">
        <f>IFERROR('Data Sheet'!H65-SUM('Data Sheet'!H67:H69),0)</f>
        <v>58784.94</v>
      </c>
      <c r="J57" s="15">
        <f>IFERROR('Data Sheet'!I65-SUM('Data Sheet'!I67:I69),0)</f>
        <v>61717.959999999992</v>
      </c>
      <c r="K57" s="15">
        <f>IFERROR('Data Sheet'!J65-SUM('Data Sheet'!J67:J69),0)</f>
        <v>62223.770000000019</v>
      </c>
      <c r="L57" s="15">
        <f>IFERROR('Data Sheet'!K65-SUM('Data Sheet'!K67:K69),0)</f>
        <v>68432.090000000011</v>
      </c>
    </row>
    <row r="58" spans="2:12" x14ac:dyDescent="0.35">
      <c r="B58" s="24" t="s">
        <v>86</v>
      </c>
      <c r="C58" s="25">
        <f>IFERROR(SUM(C54:C57),0)</f>
        <v>150869.07999999999</v>
      </c>
      <c r="D58" s="25">
        <f>IFERROR(SUM(D54:D57),0)</f>
        <v>163347.49</v>
      </c>
      <c r="E58" s="25">
        <f t="shared" ref="E58:L58" si="28">IFERROR(SUM(E54:E57),0)</f>
        <v>186497.07999999996</v>
      </c>
      <c r="F58" s="25">
        <f t="shared" si="28"/>
        <v>187341.62</v>
      </c>
      <c r="G58" s="25">
        <f t="shared" si="28"/>
        <v>230546.97</v>
      </c>
      <c r="H58" s="25">
        <f t="shared" si="28"/>
        <v>215044.77</v>
      </c>
      <c r="I58" s="25">
        <f t="shared" si="28"/>
        <v>237822.85</v>
      </c>
      <c r="J58" s="25">
        <f t="shared" si="28"/>
        <v>246009.77999999997</v>
      </c>
      <c r="K58" s="25">
        <f t="shared" si="28"/>
        <v>240709.84000000003</v>
      </c>
      <c r="L58" s="25">
        <f t="shared" si="28"/>
        <v>241165.51</v>
      </c>
    </row>
    <row r="60" spans="2:12" x14ac:dyDescent="0.35">
      <c r="B60" s="3" t="s">
        <v>42</v>
      </c>
      <c r="C60" s="15">
        <f>IFERROR('Data Sheet'!B67,0)</f>
        <v>10574.23</v>
      </c>
      <c r="D60" s="15">
        <f>IFERROR('Data Sheet'!C67,0)</f>
        <v>12579.2</v>
      </c>
      <c r="E60" s="15">
        <f>IFERROR('Data Sheet'!D67,0)</f>
        <v>13570.91</v>
      </c>
      <c r="F60" s="15">
        <f>IFERROR('Data Sheet'!E67,0)</f>
        <v>14075.55</v>
      </c>
      <c r="G60" s="15">
        <f>IFERROR('Data Sheet'!F67,0)</f>
        <v>19893.3</v>
      </c>
      <c r="H60" s="15">
        <f>IFERROR('Data Sheet'!G67,0)</f>
        <v>18996.169999999998</v>
      </c>
      <c r="I60" s="15">
        <f>IFERROR('Data Sheet'!H67,0)</f>
        <v>11172.69</v>
      </c>
      <c r="J60" s="15">
        <f>IFERROR('Data Sheet'!I67,0)</f>
        <v>12679.08</v>
      </c>
      <c r="K60" s="15">
        <f>IFERROR('Data Sheet'!J67,0)</f>
        <v>12442.12</v>
      </c>
      <c r="L60" s="15">
        <f>IFERROR('Data Sheet'!K67,0)</f>
        <v>15737.97</v>
      </c>
    </row>
    <row r="61" spans="2:12" x14ac:dyDescent="0.35">
      <c r="B61" s="3" t="s">
        <v>29</v>
      </c>
      <c r="C61" s="15">
        <f>IFERROR('Data Sheet'!B68,0)</f>
        <v>27270.89</v>
      </c>
      <c r="D61" s="15">
        <f>IFERROR('Data Sheet'!C68,0)</f>
        <v>29272.34</v>
      </c>
      <c r="E61" s="15">
        <f>IFERROR('Data Sheet'!D68,0)</f>
        <v>32655.73</v>
      </c>
      <c r="F61" s="15">
        <f>IFERROR('Data Sheet'!E68,0)</f>
        <v>35085.31</v>
      </c>
      <c r="G61" s="15">
        <f>IFERROR('Data Sheet'!F68,0)</f>
        <v>42137.63</v>
      </c>
      <c r="H61" s="15">
        <f>IFERROR('Data Sheet'!G68,0)</f>
        <v>39013.730000000003</v>
      </c>
      <c r="I61" s="15">
        <f>IFERROR('Data Sheet'!H68,0)</f>
        <v>37456.879999999997</v>
      </c>
      <c r="J61" s="15">
        <f>IFERROR('Data Sheet'!I68,0)</f>
        <v>36088.589999999997</v>
      </c>
      <c r="K61" s="15">
        <f>IFERROR('Data Sheet'!J68,0)</f>
        <v>35240.339999999997</v>
      </c>
      <c r="L61" s="15">
        <f>IFERROR('Data Sheet'!K68,0)</f>
        <v>40755.39</v>
      </c>
    </row>
    <row r="62" spans="2:12" x14ac:dyDescent="0.35">
      <c r="B62" s="2" t="s">
        <v>51</v>
      </c>
      <c r="C62" s="15">
        <f>IFERROR('Data Sheet'!B69,0)</f>
        <v>29711.79</v>
      </c>
      <c r="D62" s="15">
        <f>IFERROR('Data Sheet'!C69,0)</f>
        <v>32115.759999999998</v>
      </c>
      <c r="E62" s="15">
        <f>IFERROR('Data Sheet'!D69,0)</f>
        <v>30460.400000000001</v>
      </c>
      <c r="F62" s="15">
        <f>IFERROR('Data Sheet'!E69,0)</f>
        <v>36077.879999999997</v>
      </c>
      <c r="G62" s="15">
        <f>IFERROR('Data Sheet'!F69,0)</f>
        <v>34613.910000000003</v>
      </c>
      <c r="H62" s="15">
        <f>IFERROR('Data Sheet'!G69,0)</f>
        <v>32648.82</v>
      </c>
      <c r="I62" s="15">
        <f>IFERROR('Data Sheet'!H69,0)</f>
        <v>33726.97</v>
      </c>
      <c r="J62" s="15">
        <f>IFERROR('Data Sheet'!I69,0)</f>
        <v>46792.46</v>
      </c>
      <c r="K62" s="15">
        <f>IFERROR('Data Sheet'!J69,0)</f>
        <v>40669.19</v>
      </c>
      <c r="L62" s="15">
        <f>IFERROR('Data Sheet'!K69,0)</f>
        <v>37015.56</v>
      </c>
    </row>
    <row r="63" spans="2:12" x14ac:dyDescent="0.35">
      <c r="B63" s="24" t="s">
        <v>87</v>
      </c>
      <c r="C63" s="25">
        <f>IFERROR(SUM(C60:C62),0)</f>
        <v>67556.91</v>
      </c>
      <c r="D63" s="25">
        <f t="shared" ref="D63:L63" si="29">IFERROR(SUM(D60:D62),0)</f>
        <v>73967.3</v>
      </c>
      <c r="E63" s="25">
        <f t="shared" si="29"/>
        <v>76687.040000000008</v>
      </c>
      <c r="F63" s="25">
        <f t="shared" si="29"/>
        <v>85238.739999999991</v>
      </c>
      <c r="G63" s="25">
        <f t="shared" si="29"/>
        <v>96644.84</v>
      </c>
      <c r="H63" s="25">
        <f t="shared" si="29"/>
        <v>90658.72</v>
      </c>
      <c r="I63" s="25">
        <f t="shared" si="29"/>
        <v>82356.540000000008</v>
      </c>
      <c r="J63" s="25">
        <f t="shared" si="29"/>
        <v>95560.13</v>
      </c>
      <c r="K63" s="25">
        <f t="shared" si="29"/>
        <v>88351.65</v>
      </c>
      <c r="L63" s="25">
        <f t="shared" si="29"/>
        <v>93508.92</v>
      </c>
    </row>
    <row r="65" spans="1:13" x14ac:dyDescent="0.35">
      <c r="B65" s="24" t="s">
        <v>88</v>
      </c>
      <c r="C65" s="25">
        <f>IFERROR(C58+C63,0)</f>
        <v>218425.99</v>
      </c>
      <c r="D65" s="25">
        <f t="shared" ref="D65:L65" si="30">IFERROR(D58+D63,0)</f>
        <v>237314.78999999998</v>
      </c>
      <c r="E65" s="25">
        <f t="shared" si="30"/>
        <v>263184.12</v>
      </c>
      <c r="F65" s="25">
        <f t="shared" si="30"/>
        <v>272580.36</v>
      </c>
      <c r="G65" s="25">
        <f t="shared" si="30"/>
        <v>327191.81</v>
      </c>
      <c r="H65" s="25">
        <f t="shared" si="30"/>
        <v>305703.49</v>
      </c>
      <c r="I65" s="25">
        <f t="shared" si="30"/>
        <v>320179.39</v>
      </c>
      <c r="J65" s="25">
        <f t="shared" si="30"/>
        <v>341569.91</v>
      </c>
      <c r="K65" s="25">
        <f t="shared" si="30"/>
        <v>329061.49</v>
      </c>
      <c r="L65" s="25">
        <f t="shared" si="30"/>
        <v>334674.43</v>
      </c>
    </row>
    <row r="67" spans="1:13" x14ac:dyDescent="0.35">
      <c r="B67" s="21" t="s">
        <v>89</v>
      </c>
      <c r="C67" s="22" t="b">
        <f>C65=C52</f>
        <v>1</v>
      </c>
      <c r="D67" s="22" t="b">
        <f t="shared" ref="D67:L67" si="31">D65=D52</f>
        <v>1</v>
      </c>
      <c r="E67" s="22" t="b">
        <f t="shared" si="31"/>
        <v>1</v>
      </c>
      <c r="F67" s="22" t="b">
        <f t="shared" si="31"/>
        <v>1</v>
      </c>
      <c r="G67" s="22" t="b">
        <f t="shared" si="31"/>
        <v>1</v>
      </c>
      <c r="H67" s="22" t="b">
        <f t="shared" si="31"/>
        <v>1</v>
      </c>
      <c r="I67" s="22" t="b">
        <f t="shared" si="31"/>
        <v>1</v>
      </c>
      <c r="J67" s="22" t="b">
        <f t="shared" si="31"/>
        <v>1</v>
      </c>
      <c r="K67" s="22" t="b">
        <f t="shared" si="31"/>
        <v>1</v>
      </c>
      <c r="L67" s="22" t="b">
        <f t="shared" si="31"/>
        <v>1</v>
      </c>
    </row>
    <row r="69" spans="1:13" x14ac:dyDescent="0.35">
      <c r="A69" t="s">
        <v>58</v>
      </c>
      <c r="B69" s="18" t="s">
        <v>90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1" spans="1:13" x14ac:dyDescent="0.35">
      <c r="B71" t="s">
        <v>92</v>
      </c>
      <c r="C71" s="15">
        <f>IFERROR('Data Sheet'!B82,0)</f>
        <v>36151.160000000003</v>
      </c>
      <c r="D71" s="15">
        <f>IFERROR('Data Sheet'!C82,0)</f>
        <v>35531.26</v>
      </c>
      <c r="E71" s="15">
        <f>IFERROR('Data Sheet'!D82,0)</f>
        <v>37899.54</v>
      </c>
      <c r="F71" s="15">
        <f>IFERROR('Data Sheet'!E82,0)</f>
        <v>30199.25</v>
      </c>
      <c r="G71" s="15">
        <f>IFERROR('Data Sheet'!F82,0)</f>
        <v>23857.42</v>
      </c>
      <c r="H71" s="15">
        <f>IFERROR('Data Sheet'!G82,0)</f>
        <v>18890.75</v>
      </c>
      <c r="I71" s="15">
        <f>IFERROR('Data Sheet'!H82,0)</f>
        <v>26632.94</v>
      </c>
      <c r="J71" s="15">
        <f>IFERROR('Data Sheet'!I82,0)</f>
        <v>29000.51</v>
      </c>
      <c r="K71" s="15">
        <f>IFERROR('Data Sheet'!J82,0)</f>
        <v>14282.83</v>
      </c>
      <c r="L71" s="15">
        <f>IFERROR('Data Sheet'!K82,0)</f>
        <v>35388.01</v>
      </c>
    </row>
    <row r="72" spans="1:13" x14ac:dyDescent="0.35"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spans="1:13" x14ac:dyDescent="0.35">
      <c r="B73" t="s">
        <v>93</v>
      </c>
      <c r="C73" s="15">
        <f>IFERROR('Data Sheet'!B83,0)</f>
        <v>-27990.91</v>
      </c>
      <c r="D73" s="15">
        <f>IFERROR('Data Sheet'!C83,0)</f>
        <v>-36232.35</v>
      </c>
      <c r="E73" s="15">
        <f>IFERROR('Data Sheet'!D83,0)</f>
        <v>-36693.9</v>
      </c>
      <c r="F73" s="15">
        <f>IFERROR('Data Sheet'!E83,0)</f>
        <v>-39571.4</v>
      </c>
      <c r="G73" s="15">
        <f>IFERROR('Data Sheet'!F83,0)</f>
        <v>-25139.14</v>
      </c>
      <c r="H73" s="15">
        <f>IFERROR('Data Sheet'!G83,0)</f>
        <v>-20878.07</v>
      </c>
      <c r="I73" s="15">
        <f>IFERROR('Data Sheet'!H83,0)</f>
        <v>-33114.550000000003</v>
      </c>
      <c r="J73" s="15">
        <f>IFERROR('Data Sheet'!I83,0)</f>
        <v>-25672.5</v>
      </c>
      <c r="K73" s="15">
        <f>IFERROR('Data Sheet'!J83,0)</f>
        <v>-4443.66</v>
      </c>
      <c r="L73" s="15">
        <f>IFERROR('Data Sheet'!K83,0)</f>
        <v>-15417.17</v>
      </c>
    </row>
    <row r="74" spans="1:13" x14ac:dyDescent="0.35"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spans="1:13" x14ac:dyDescent="0.35">
      <c r="B75" t="s">
        <v>91</v>
      </c>
      <c r="C75" s="15">
        <f>IFERROR('Data Sheet'!B84,0)</f>
        <v>-3883.24</v>
      </c>
      <c r="D75" s="15">
        <f>IFERROR('Data Sheet'!C84,0)</f>
        <v>5201.4399999999996</v>
      </c>
      <c r="E75" s="15">
        <f>IFERROR('Data Sheet'!D84,0)</f>
        <v>-3795.12</v>
      </c>
      <c r="F75" s="15">
        <f>IFERROR('Data Sheet'!E84,0)</f>
        <v>6205.3</v>
      </c>
      <c r="G75" s="15">
        <f>IFERROR('Data Sheet'!F84,0)</f>
        <v>2011.71</v>
      </c>
      <c r="H75" s="15">
        <f>IFERROR('Data Sheet'!G84,0)</f>
        <v>8830.3700000000008</v>
      </c>
      <c r="I75" s="15">
        <f>IFERROR('Data Sheet'!H84,0)</f>
        <v>3389.61</v>
      </c>
      <c r="J75" s="15">
        <f>IFERROR('Data Sheet'!I84,0)</f>
        <v>9904.2000000000007</v>
      </c>
      <c r="K75" s="15">
        <f>IFERROR('Data Sheet'!J84,0)</f>
        <v>-3380.17</v>
      </c>
      <c r="L75" s="15">
        <f>IFERROR('Data Sheet'!K84,0)</f>
        <v>-26242.9</v>
      </c>
    </row>
    <row r="76" spans="1:13" x14ac:dyDescent="0.35"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spans="1:13" x14ac:dyDescent="0.35">
      <c r="B77" s="23" t="s">
        <v>20</v>
      </c>
      <c r="C77" s="20">
        <f>SUM(C71:C76)</f>
        <v>4277.0100000000039</v>
      </c>
      <c r="D77" s="20">
        <f t="shared" ref="D77:L77" si="32">SUM(D71:D76)</f>
        <v>4500.3500000000031</v>
      </c>
      <c r="E77" s="20">
        <f t="shared" si="32"/>
        <v>-2589.4800000000005</v>
      </c>
      <c r="F77" s="20">
        <f t="shared" si="32"/>
        <v>-3166.8500000000013</v>
      </c>
      <c r="G77" s="20">
        <f t="shared" si="32"/>
        <v>729.98999999999887</v>
      </c>
      <c r="H77" s="20">
        <f t="shared" si="32"/>
        <v>6843.0500000000011</v>
      </c>
      <c r="I77" s="20">
        <f t="shared" si="32"/>
        <v>-3092.0000000000041</v>
      </c>
      <c r="J77" s="20">
        <f t="shared" si="32"/>
        <v>13232.21</v>
      </c>
      <c r="K77" s="20">
        <f t="shared" si="32"/>
        <v>6459</v>
      </c>
      <c r="L77" s="20">
        <f t="shared" si="32"/>
        <v>-6272.0599999999977</v>
      </c>
    </row>
    <row r="78" spans="1:13" x14ac:dyDescent="0.35"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spans="1:13" x14ac:dyDescent="0.35"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spans="1:13" x14ac:dyDescent="0.35">
      <c r="B80" s="23"/>
      <c r="C80" s="20"/>
      <c r="D80" s="20"/>
      <c r="E80" s="20"/>
      <c r="F80" s="20"/>
      <c r="G80" s="20"/>
      <c r="H80" s="20"/>
      <c r="I80" s="20"/>
      <c r="J80" s="20"/>
      <c r="K80" s="20"/>
      <c r="L80" s="20"/>
    </row>
    <row r="82" spans="2:12" x14ac:dyDescent="0.35">
      <c r="B82" s="23"/>
    </row>
    <row r="83" spans="2:12" x14ac:dyDescent="0.35"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spans="2:12" x14ac:dyDescent="0.35"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spans="2:12" x14ac:dyDescent="0.35"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spans="2:12" x14ac:dyDescent="0.35">
      <c r="C86" s="15"/>
      <c r="D86" s="15"/>
      <c r="E86" s="15"/>
      <c r="F86" s="15"/>
      <c r="G86" s="15"/>
      <c r="H86" s="15"/>
      <c r="I86" s="15"/>
      <c r="J86" s="15"/>
      <c r="K86" s="15"/>
      <c r="L86" s="15"/>
    </row>
    <row r="87" spans="2:12" x14ac:dyDescent="0.35">
      <c r="C87" s="15"/>
      <c r="D87" s="15"/>
      <c r="E87" s="15"/>
      <c r="F87" s="15"/>
      <c r="G87" s="15"/>
      <c r="H87" s="15"/>
      <c r="I87" s="15"/>
      <c r="J87" s="15"/>
      <c r="K87" s="15"/>
      <c r="L87" s="15"/>
    </row>
    <row r="88" spans="2:12" x14ac:dyDescent="0.35"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spans="2:12" x14ac:dyDescent="0.35"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 spans="2:12" x14ac:dyDescent="0.35">
      <c r="C90" s="15"/>
      <c r="D90" s="15"/>
      <c r="E90" s="15"/>
      <c r="F90" s="15"/>
      <c r="G90" s="15"/>
      <c r="H90" s="15"/>
      <c r="I90" s="15"/>
      <c r="J90" s="15"/>
      <c r="K90" s="15"/>
      <c r="L90" s="15"/>
    </row>
    <row r="91" spans="2:12" x14ac:dyDescent="0.35"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 spans="2:12" x14ac:dyDescent="0.35"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 spans="2:12" x14ac:dyDescent="0.35">
      <c r="C93" s="15"/>
      <c r="D93" s="15"/>
      <c r="E93" s="15"/>
      <c r="F93" s="15"/>
      <c r="G93" s="15"/>
      <c r="H93" s="15"/>
      <c r="I93" s="15"/>
      <c r="J93" s="15"/>
      <c r="K93" s="15"/>
      <c r="L93" s="15"/>
    </row>
    <row r="94" spans="2:12" x14ac:dyDescent="0.35">
      <c r="C94" s="15"/>
      <c r="D94" s="15"/>
      <c r="E94" s="15"/>
      <c r="F94" s="15"/>
      <c r="G94" s="15"/>
      <c r="H94" s="15"/>
      <c r="I94" s="15"/>
      <c r="J94" s="15"/>
      <c r="K94" s="15"/>
      <c r="L94" s="15"/>
    </row>
    <row r="95" spans="2:12" x14ac:dyDescent="0.35">
      <c r="B95" s="23"/>
      <c r="C95" s="20"/>
      <c r="D95" s="20"/>
      <c r="E95" s="20"/>
      <c r="F95" s="20"/>
      <c r="G95" s="20"/>
      <c r="H95" s="20"/>
      <c r="I95" s="20"/>
      <c r="J95" s="20"/>
      <c r="K95" s="20"/>
      <c r="L95" s="20"/>
    </row>
    <row r="97" spans="2:12" x14ac:dyDescent="0.35">
      <c r="B97" s="23"/>
    </row>
    <row r="98" spans="2:12" x14ac:dyDescent="0.35"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 spans="2:12" x14ac:dyDescent="0.35">
      <c r="C99" s="15"/>
      <c r="D99" s="15"/>
      <c r="E99" s="15"/>
      <c r="F99" s="15"/>
      <c r="G99" s="15"/>
      <c r="H99" s="15"/>
      <c r="I99" s="15"/>
      <c r="J99" s="15"/>
      <c r="K99" s="15"/>
      <c r="L99" s="15"/>
    </row>
    <row r="100" spans="2:12" x14ac:dyDescent="0.35">
      <c r="C100" s="15"/>
      <c r="D100" s="15"/>
      <c r="E100" s="15"/>
      <c r="F100" s="15"/>
      <c r="G100" s="15"/>
      <c r="H100" s="15"/>
      <c r="I100" s="15"/>
      <c r="J100" s="15"/>
      <c r="K100" s="15"/>
      <c r="L100" s="15"/>
    </row>
    <row r="101" spans="2:12" x14ac:dyDescent="0.35"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spans="2:12" x14ac:dyDescent="0.35">
      <c r="C102" s="15"/>
      <c r="D102" s="15"/>
      <c r="E102" s="15"/>
      <c r="F102" s="15"/>
      <c r="G102" s="15"/>
      <c r="H102" s="15"/>
      <c r="I102" s="15"/>
      <c r="J102" s="15"/>
      <c r="K102" s="15"/>
      <c r="L102" s="15"/>
    </row>
    <row r="103" spans="2:12" x14ac:dyDescent="0.35">
      <c r="C103" s="15"/>
      <c r="D103" s="15"/>
      <c r="E103" s="15"/>
      <c r="F103" s="15"/>
      <c r="G103" s="15"/>
      <c r="H103" s="15"/>
      <c r="I103" s="15"/>
      <c r="J103" s="15"/>
      <c r="K103" s="15"/>
      <c r="L103" s="15"/>
    </row>
    <row r="104" spans="2:12" x14ac:dyDescent="0.35"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spans="2:12" x14ac:dyDescent="0.35"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 spans="2:12" x14ac:dyDescent="0.35">
      <c r="B106" s="23"/>
      <c r="C106" s="20"/>
      <c r="D106" s="20"/>
      <c r="E106" s="20"/>
      <c r="F106" s="20"/>
      <c r="G106" s="20"/>
      <c r="H106" s="20"/>
      <c r="I106" s="20"/>
      <c r="J106" s="20"/>
      <c r="K106" s="20"/>
      <c r="L106" s="20"/>
    </row>
    <row r="108" spans="2:12" x14ac:dyDescent="0.35">
      <c r="B108" s="23"/>
      <c r="C108" s="20"/>
      <c r="D108" s="20"/>
      <c r="E108" s="20"/>
      <c r="F108" s="20"/>
      <c r="G108" s="20"/>
      <c r="H108" s="20"/>
      <c r="I108" s="20"/>
      <c r="J108" s="20"/>
      <c r="K108" s="20"/>
      <c r="L108" s="20"/>
    </row>
  </sheetData>
  <mergeCells count="2">
    <mergeCell ref="B2:M2"/>
    <mergeCell ref="B3:M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54D7-6FDC-4B15-A23A-4A4469B62CA9}">
  <dimension ref="B2:P43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2" sqref="B52"/>
    </sheetView>
  </sheetViews>
  <sheetFormatPr defaultRowHeight="14.5" x14ac:dyDescent="0.35"/>
  <cols>
    <col min="1" max="1" width="1.90625" customWidth="1"/>
    <col min="2" max="2" width="40.81640625" customWidth="1"/>
    <col min="3" max="12" width="13.81640625" customWidth="1"/>
    <col min="13" max="16" width="10.81640625" customWidth="1"/>
  </cols>
  <sheetData>
    <row r="2" spans="2:16" x14ac:dyDescent="0.35">
      <c r="B2" s="83" t="str">
        <f>'Data Sheet'!B1</f>
        <v>TATA MOTORS LTD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2:16" x14ac:dyDescent="0.35">
      <c r="B3" s="84" t="str">
        <f>"Ratio Analysis of - " &amp; B2</f>
        <v>Ratio Analysis of - TATA MOTORS LTD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2:16" x14ac:dyDescent="0.35">
      <c r="B4" s="8" t="s">
        <v>54</v>
      </c>
      <c r="C4" s="9">
        <f>'Data Sheet'!B16</f>
        <v>41729</v>
      </c>
      <c r="D4" s="9">
        <f>'Data Sheet'!C16</f>
        <v>42094</v>
      </c>
      <c r="E4" s="9">
        <f>'Data Sheet'!D16</f>
        <v>42460</v>
      </c>
      <c r="F4" s="9">
        <f>'Data Sheet'!E16</f>
        <v>42825</v>
      </c>
      <c r="G4" s="9">
        <f>'Data Sheet'!F16</f>
        <v>43190</v>
      </c>
      <c r="H4" s="9">
        <f>'Data Sheet'!G16</f>
        <v>43555</v>
      </c>
      <c r="I4" s="9">
        <f>'Data Sheet'!H16</f>
        <v>43921</v>
      </c>
      <c r="J4" s="9">
        <f>'Data Sheet'!I16</f>
        <v>44286</v>
      </c>
      <c r="K4" s="9">
        <f>'Data Sheet'!J16</f>
        <v>44651</v>
      </c>
      <c r="L4" s="9">
        <f>'Data Sheet'!K16</f>
        <v>45016</v>
      </c>
      <c r="M4" s="59" t="s">
        <v>127</v>
      </c>
      <c r="N4" s="59" t="s">
        <v>125</v>
      </c>
      <c r="O4" s="59" t="s">
        <v>126</v>
      </c>
      <c r="P4" s="58"/>
    </row>
    <row r="5" spans="2:16" x14ac:dyDescent="0.35">
      <c r="M5" s="28"/>
    </row>
    <row r="6" spans="2:16" x14ac:dyDescent="0.35">
      <c r="B6" s="31" t="s">
        <v>94</v>
      </c>
      <c r="C6" s="32"/>
      <c r="D6" s="33">
        <f>IFERROR('Historical FS'!D8,0)</f>
        <v>0.13024457030826198</v>
      </c>
      <c r="E6" s="33">
        <f>IFERROR('Historical FS'!E8,0)</f>
        <v>3.75690010654397E-2</v>
      </c>
      <c r="F6" s="33">
        <f>IFERROR('Historical FS'!F8,0)</f>
        <v>-1.2280329732469508E-2</v>
      </c>
      <c r="G6" s="33">
        <f>IFERROR('Historical FS'!G8,0)</f>
        <v>8.104774581985974E-2</v>
      </c>
      <c r="H6" s="33">
        <f>IFERROR('Historical FS'!H8,0)</f>
        <v>3.5629919045237157E-2</v>
      </c>
      <c r="I6" s="33">
        <f>IFERROR('Historical FS'!I8,0)</f>
        <v>-0.135360159555724</v>
      </c>
      <c r="J6" s="33">
        <f>IFERROR('Historical FS'!J8,0)</f>
        <v>-4.3181168490336042E-2</v>
      </c>
      <c r="K6" s="33">
        <f>IFERROR('Historical FS'!K8,0)</f>
        <v>0.11472967306158344</v>
      </c>
      <c r="L6" s="33">
        <f>IFERROR('Historical FS'!L8,0)</f>
        <v>0.24245815155859707</v>
      </c>
      <c r="M6" s="49"/>
      <c r="N6" s="50">
        <f>IFERROR(AVERAGE(D6:L6),0)</f>
        <v>5.0095267008938835E-2</v>
      </c>
      <c r="O6" s="50">
        <f>IFERROR(MEDIAN(C6:L6),0)</f>
        <v>3.75690010654397E-2</v>
      </c>
    </row>
    <row r="7" spans="2:16" x14ac:dyDescent="0.35">
      <c r="B7" s="34" t="s">
        <v>95</v>
      </c>
      <c r="C7" s="35"/>
      <c r="D7" s="27">
        <f>IFERROR(('Historical FS'!D19/'Historical FS'!C19)-1,0)</f>
        <v>0.12582115468924693</v>
      </c>
      <c r="E7" s="27">
        <f>IFERROR(('Historical FS'!E19/'Historical FS'!D19)-1,0)</f>
        <v>-2.1494113584437979E-2</v>
      </c>
      <c r="F7" s="27">
        <f>IFERROR(('Historical FS'!F19/'Historical FS'!E19)-1,0)</f>
        <v>-0.22936587208052905</v>
      </c>
      <c r="G7" s="27">
        <f>IFERROR(('Historical FS'!G19/'Historical FS'!F19)-1,0)</f>
        <v>6.3165689322506102E-2</v>
      </c>
      <c r="H7" s="27">
        <f>IFERROR(('Historical FS'!H19/'Historical FS'!G19)-1,0)</f>
        <v>-0.21595203460649259</v>
      </c>
      <c r="I7" s="27">
        <f>IFERROR(('Historical FS'!I19/'Historical FS'!H19)-1,0)</f>
        <v>-0.27072537547138131</v>
      </c>
      <c r="J7" s="27">
        <f>IFERROR(('Historical FS'!J19/'Historical FS'!I19)-1,0)</f>
        <v>0.79503554497758966</v>
      </c>
      <c r="K7" s="27">
        <f>IFERROR(('Historical FS'!K19/'Historical FS'!J19)-1,0)</f>
        <v>-0.234374182150762</v>
      </c>
      <c r="L7" s="27">
        <f>IFERROR(('Historical FS'!L19/'Historical FS'!K19)-1,0)</f>
        <v>0.28704223973294352</v>
      </c>
      <c r="M7" s="51"/>
      <c r="N7" s="52">
        <f t="shared" ref="N7:N10" si="0">IFERROR(AVERAGE(D7:L7),0)</f>
        <v>3.3239227869853699E-2</v>
      </c>
      <c r="O7" s="52">
        <f t="shared" ref="O7:O32" si="1">IFERROR(MEDIAN(C7:L7),0)</f>
        <v>-2.1494113584437979E-2</v>
      </c>
    </row>
    <row r="8" spans="2:16" x14ac:dyDescent="0.35">
      <c r="B8" s="34" t="s">
        <v>122</v>
      </c>
      <c r="C8" s="35"/>
      <c r="D8" s="27">
        <f>IFERROR(('Historical FS'!D28/'Historical FS'!C28)-1,0)</f>
        <v>0.103163815795007</v>
      </c>
      <c r="E8" s="27">
        <f>IFERROR(('Historical FS'!E28/'Historical FS'!D28)-1,0)</f>
        <v>-0.19978245260625771</v>
      </c>
      <c r="F8" s="27">
        <f>IFERROR(('Historical FS'!F28/'Historical FS'!E28)-1,0)</f>
        <v>-0.55668251823863235</v>
      </c>
      <c r="G8" s="27">
        <f>IFERROR(('Historical FS'!G28/'Historical FS'!F28)-1,0)</f>
        <v>-0.29861436616351711</v>
      </c>
      <c r="H8" s="27">
        <f>IFERROR(('Historical FS'!H28/'Historical FS'!G28)-1,0)</f>
        <v>-1.8970951496467041</v>
      </c>
      <c r="I8" s="27">
        <f>IFERROR(('Historical FS'!I28/'Historical FS'!H28)-1,0)</f>
        <v>1.2800251873039108</v>
      </c>
      <c r="J8" s="27">
        <f>IFERROR(('Historical FS'!J28/'Historical FS'!I28)-1,0)</f>
        <v>-1.0602479570180361</v>
      </c>
      <c r="K8" s="27">
        <f>IFERROR(('Historical FS'!K28/'Historical FS'!J28)-1,0)</f>
        <v>-15.649149250252746</v>
      </c>
      <c r="L8" s="27">
        <f>IFERROR(('Historical FS'!L28/'Historical FS'!K28)-1,0)</f>
        <v>-0.6531366879307845</v>
      </c>
      <c r="M8" s="51"/>
      <c r="N8" s="52">
        <f t="shared" si="0"/>
        <v>-2.1035021531953069</v>
      </c>
      <c r="O8" s="52">
        <f t="shared" si="1"/>
        <v>-0.55668251823863235</v>
      </c>
    </row>
    <row r="9" spans="2:16" x14ac:dyDescent="0.35">
      <c r="B9" s="34" t="s">
        <v>96</v>
      </c>
      <c r="C9" s="35"/>
      <c r="D9" s="27">
        <f>IFERROR(('Historical FS'!D34/'Historical FS'!C34-1),0)</f>
        <v>-6.418567600941516E-2</v>
      </c>
      <c r="E9" s="27">
        <f>IFERROR(('Historical FS'!E34/'Historical FS'!D34-1),0)</f>
        <v>3.1824673563310535E-2</v>
      </c>
      <c r="F9" s="27">
        <f>IFERROR(('Historical FS'!F34/'Historical FS'!E34-1),0)</f>
        <v>-0.6953989516598682</v>
      </c>
      <c r="G9" s="27">
        <f>IFERROR(('Historical FS'!G34/'Historical FS'!F34-1),0)</f>
        <v>-0.79011124197155702</v>
      </c>
      <c r="H9" s="27">
        <f>IFERROR(('Historical FS'!H34/'Historical FS'!G34-1),0)</f>
        <v>-3.5528470983790874</v>
      </c>
      <c r="I9" s="27">
        <f>IFERROR(('Historical FS'!I34/'Historical FS'!H34-1),0)</f>
        <v>3.9286702707513648</v>
      </c>
      <c r="J9" s="27">
        <f>IFERROR(('Historical FS'!J34/'Historical FS'!I34-1),0)</f>
        <v>-0.82862505348950111</v>
      </c>
      <c r="K9" s="27">
        <f>IFERROR(('Historical FS'!K34/'Historical FS'!J34-1),0)</f>
        <v>6.1952157445306089</v>
      </c>
      <c r="L9" s="27">
        <f>IFERROR(('Historical FS'!L34/'Historical FS'!K34-1),0)</f>
        <v>-0.70904365333577046</v>
      </c>
      <c r="M9" s="51"/>
      <c r="N9" s="52">
        <f t="shared" si="0"/>
        <v>0.390611001555565</v>
      </c>
      <c r="O9" s="52">
        <f t="shared" si="1"/>
        <v>-0.6953989516598682</v>
      </c>
    </row>
    <row r="10" spans="2:16" x14ac:dyDescent="0.35">
      <c r="B10" s="36" t="s">
        <v>97</v>
      </c>
      <c r="C10" s="37"/>
      <c r="D10" s="38">
        <f>IFERROR(('Historical FS'!D42/'Historical FS'!C42)-1,0)</f>
        <v>-1</v>
      </c>
      <c r="E10" s="38">
        <f>IFERROR(('Historical FS'!E42/'Historical FS'!D42)-1,0)</f>
        <v>0</v>
      </c>
      <c r="F10" s="38">
        <f>IFERROR(('Historical FS'!F42/'Historical FS'!E42)-1,0)</f>
        <v>-1</v>
      </c>
      <c r="G10" s="38">
        <f>IFERROR(('Historical FS'!G42/'Historical FS'!F42)-1,0)</f>
        <v>0</v>
      </c>
      <c r="H10" s="38">
        <f>IFERROR(('Historical FS'!H42/'Historical FS'!G42)-1,0)</f>
        <v>0</v>
      </c>
      <c r="I10" s="38">
        <f>IFERROR(('Historical FS'!I42/'Historical FS'!H42)-1,0)</f>
        <v>0</v>
      </c>
      <c r="J10" s="38">
        <f>IFERROR(('Historical FS'!J42/'Historical FS'!I42)-1,0)</f>
        <v>0</v>
      </c>
      <c r="K10" s="38">
        <f>IFERROR(('Historical FS'!K42/'Historical FS'!J42)-1,0)</f>
        <v>0</v>
      </c>
      <c r="L10" s="38">
        <f>IFERROR(('Historical FS'!L42/'Historical FS'!K42)-1,0)</f>
        <v>0</v>
      </c>
      <c r="M10" s="53"/>
      <c r="N10" s="54">
        <f t="shared" si="0"/>
        <v>-0.22222222222222221</v>
      </c>
      <c r="O10" s="54">
        <f t="shared" si="1"/>
        <v>0</v>
      </c>
    </row>
    <row r="11" spans="2:16" x14ac:dyDescent="0.35">
      <c r="B11" s="26"/>
      <c r="C11" s="26"/>
      <c r="D11" s="27"/>
      <c r="M11" s="28"/>
    </row>
    <row r="12" spans="2:16" x14ac:dyDescent="0.35">
      <c r="B12" s="31" t="s">
        <v>98</v>
      </c>
      <c r="C12" s="39">
        <f>IFERROR('Historical FS'!C14,0)</f>
        <v>0.22635301098646982</v>
      </c>
      <c r="D12" s="39">
        <f>IFERROR('Historical FS'!D14,0)</f>
        <v>0.22914703499762759</v>
      </c>
      <c r="E12" s="39">
        <f>IFERROR('Historical FS'!E14,0)</f>
        <v>0.24734524196690946</v>
      </c>
      <c r="F12" s="39">
        <f>IFERROR('Historical FS'!F14,0)</f>
        <v>0.23819078253229964</v>
      </c>
      <c r="G12" s="39">
        <f>IFERROR('Historical FS'!G14,0)</f>
        <v>0.21649990080619999</v>
      </c>
      <c r="H12" s="39">
        <f>IFERROR('Historical FS'!H14,0)</f>
        <v>0.19571167496416494</v>
      </c>
      <c r="I12" s="39">
        <f>IFERROR('Historical FS'!I14,0)</f>
        <v>0.19417127271491774</v>
      </c>
      <c r="J12" s="39">
        <f>IFERROR('Historical FS'!J14,0)</f>
        <v>0.2180538622208833</v>
      </c>
      <c r="K12" s="39">
        <f>IFERROR('Historical FS'!K14,0)</f>
        <v>0.19807108271747378</v>
      </c>
      <c r="L12" s="39">
        <f>IFERROR('Historical FS'!L14,0)</f>
        <v>0.20685017994636876</v>
      </c>
      <c r="M12" s="55"/>
      <c r="N12" s="50">
        <f>IFERROR(AVERAGE(C12:L12),0)</f>
        <v>0.21703940438533151</v>
      </c>
      <c r="O12" s="50">
        <f t="shared" si="1"/>
        <v>0.21727688151354163</v>
      </c>
    </row>
    <row r="13" spans="2:16" x14ac:dyDescent="0.35">
      <c r="B13" s="34" t="s">
        <v>99</v>
      </c>
      <c r="C13" s="40">
        <f>IFERROR('Historical FS'!C20,0)</f>
        <v>0.14969210207836775</v>
      </c>
      <c r="D13" s="40">
        <f>IFERROR('Historical FS'!D20,0)</f>
        <v>0.14910625508580397</v>
      </c>
      <c r="E13" s="40">
        <f>IFERROR('Historical FS'!E20,0)</f>
        <v>0.14061845347443788</v>
      </c>
      <c r="F13" s="40">
        <f>IFERROR('Historical FS'!F20,0)</f>
        <v>0.10971268723777329</v>
      </c>
      <c r="G13" s="40">
        <f>IFERROR('Historical FS'!G20,0)</f>
        <v>0.10789788444182975</v>
      </c>
      <c r="H13" s="40">
        <f>IFERROR('Historical FS'!H20,0)</f>
        <v>8.1686628795807431E-2</v>
      </c>
      <c r="I13" s="40">
        <f>IFERROR('Historical FS'!I20,0)</f>
        <v>6.8898034485042198E-2</v>
      </c>
      <c r="J13" s="40">
        <f>IFERROR('Historical FS'!J20,0)</f>
        <v>0.12925583904385496</v>
      </c>
      <c r="K13" s="40">
        <f>IFERROR('Historical FS'!K20,0)</f>
        <v>8.877632835227646E-2</v>
      </c>
      <c r="L13" s="40">
        <f>IFERROR('Historical FS'!L20,0)</f>
        <v>9.1961958102532049E-2</v>
      </c>
      <c r="M13" s="28"/>
      <c r="N13" s="52">
        <f t="shared" ref="N13:N32" si="2">IFERROR(AVERAGE(C13:L13),0)</f>
        <v>0.11176061710977256</v>
      </c>
      <c r="O13" s="52">
        <f t="shared" si="1"/>
        <v>0.10880528583980152</v>
      </c>
    </row>
    <row r="14" spans="2:16" x14ac:dyDescent="0.35">
      <c r="B14" s="34" t="s">
        <v>100</v>
      </c>
      <c r="C14" s="40">
        <f>IFERROR(('Historical FS'!C19-'Historical FS'!C25)/'Historical FS'!C7,0)</f>
        <v>0.10211238357890337</v>
      </c>
      <c r="D14" s="40">
        <f>IFERROR(('Historical FS'!D19-'Historical FS'!D25)/'Historical FS'!D7,0)</f>
        <v>9.8229670900837146E-2</v>
      </c>
      <c r="E14" s="40">
        <f>IFERROR(('Historical FS'!E19-'Historical FS'!E25)/'Historical FS'!E7,0)</f>
        <v>7.941702777851016E-2</v>
      </c>
      <c r="F14" s="40">
        <f>IFERROR(('Historical FS'!F19-'Historical FS'!F25)/'Historical FS'!F7,0)</f>
        <v>4.3322300645279484E-2</v>
      </c>
      <c r="G14" s="40">
        <f>IFERROR(('Historical FS'!G19-'Historical FS'!G25)/'Historical FS'!G7,0)</f>
        <v>3.3970412259310953E-2</v>
      </c>
      <c r="H14" s="40">
        <f>IFERROR(('Historical FS'!H19-'Historical FS'!H25)/'Historical FS'!H7,0)</f>
        <v>3.5560233478087663E-3</v>
      </c>
      <c r="I14" s="40">
        <f>IFERROR(('Historical FS'!I19-'Historical FS'!I25)/'Historical FS'!I7,0)</f>
        <v>-1.3170363258273456E-2</v>
      </c>
      <c r="J14" s="40">
        <f>IFERROR(('Historical FS'!J19-'Historical FS'!J25)/'Historical FS'!J7,0)</f>
        <v>3.4991608110258483E-2</v>
      </c>
      <c r="K14" s="40">
        <f>IFERROR(('Historical FS'!K19-'Historical FS'!K25)/'Historical FS'!K7,0)</f>
        <v>-4.1514992694289269E-4</v>
      </c>
      <c r="L14" s="40">
        <f>IFERROR(('Historical FS'!L19-'Historical FS'!L25)/'Historical FS'!L7,0)</f>
        <v>2.0104346955433228E-2</v>
      </c>
      <c r="M14" s="28"/>
      <c r="N14" s="52">
        <f t="shared" si="2"/>
        <v>4.0211826039112518E-2</v>
      </c>
      <c r="O14" s="52">
        <f t="shared" si="1"/>
        <v>3.4481010184784722E-2</v>
      </c>
    </row>
    <row r="15" spans="2:16" x14ac:dyDescent="0.35">
      <c r="B15" s="34" t="s">
        <v>101</v>
      </c>
      <c r="C15" s="40">
        <f>IFERROR('Historical FS'!C29,0)</f>
        <v>8.1713958368390432E-2</v>
      </c>
      <c r="D15" s="40">
        <f>IFERROR('Historical FS'!D29,0)</f>
        <v>7.9756085085905051E-2</v>
      </c>
      <c r="E15" s="40">
        <f>IFERROR('Historical FS'!E29,0)</f>
        <v>6.1511300676516931E-2</v>
      </c>
      <c r="F15" s="40">
        <f>IFERROR('Historical FS'!F29,0)</f>
        <v>2.7608071132565165E-2</v>
      </c>
      <c r="G15" s="40">
        <f>IFERROR('Historical FS'!G29,0)</f>
        <v>1.7912163958707913E-2</v>
      </c>
      <c r="H15" s="40">
        <f>IFERROR('Historical FS'!H29,0)</f>
        <v>-1.5516078776333105E-2</v>
      </c>
      <c r="I15" s="40">
        <f>IFERROR('Historical FS'!I29,0)</f>
        <v>-4.0915360088026258E-2</v>
      </c>
      <c r="J15" s="40">
        <f>IFERROR('Historical FS'!J29,0)</f>
        <v>2.5763151547419966E-3</v>
      </c>
      <c r="K15" s="40">
        <f>IFERROR('Historical FS'!K29,0)</f>
        <v>-3.3856482095653791E-2</v>
      </c>
      <c r="L15" s="40">
        <f>IFERROR('Historical FS'!L29,0)</f>
        <v>-9.4518849588445999E-3</v>
      </c>
      <c r="M15" s="28"/>
      <c r="N15" s="52">
        <f t="shared" si="2"/>
        <v>1.7133808845796981E-2</v>
      </c>
      <c r="O15" s="52">
        <f t="shared" si="1"/>
        <v>1.0244239556724955E-2</v>
      </c>
    </row>
    <row r="16" spans="2:16" x14ac:dyDescent="0.35">
      <c r="B16" s="36" t="s">
        <v>102</v>
      </c>
      <c r="C16" s="41">
        <f>IFERROR('Historical FS'!C35,0)</f>
        <v>6.124960626397391E-2</v>
      </c>
      <c r="D16" s="41">
        <f>IFERROR('Historical FS'!D35,0)</f>
        <v>5.0713146858982296E-2</v>
      </c>
      <c r="E16" s="41">
        <f>IFERROR('Historical FS'!E35,0)</f>
        <v>5.0432381990407359E-2</v>
      </c>
      <c r="F16" s="41">
        <f>IFERROR('Historical FS'!F35,0)</f>
        <v>1.5552749314395282E-2</v>
      </c>
      <c r="G16" s="41">
        <f>IFERROR('Historical FS'!G35,0)</f>
        <v>3.01961430487095E-3</v>
      </c>
      <c r="H16" s="41">
        <f>IFERROR('Historical FS'!H35,0)</f>
        <v>-7.4434056747998134E-3</v>
      </c>
      <c r="I16" s="41">
        <f>IFERROR('Historical FS'!I35,0)</f>
        <v>-4.2429333632923401E-2</v>
      </c>
      <c r="J16" s="41">
        <f>IFERROR('Historical FS'!J35,0)</f>
        <v>-7.5994791724005879E-3</v>
      </c>
      <c r="K16" s="41">
        <f>IFERROR('Historical FS'!K35,0)</f>
        <v>-4.9052154538339221E-2</v>
      </c>
      <c r="L16" s="41">
        <f>IFERROR('Historical FS'!L35,0)</f>
        <v>-1.1486934720964955E-2</v>
      </c>
      <c r="M16" s="56"/>
      <c r="N16" s="54">
        <f t="shared" si="2"/>
        <v>6.295619099320182E-3</v>
      </c>
      <c r="O16" s="54">
        <f t="shared" si="1"/>
        <v>-2.2118956849644317E-3</v>
      </c>
    </row>
    <row r="17" spans="2:15" x14ac:dyDescent="0.35">
      <c r="B17" s="26"/>
      <c r="C17" s="26"/>
      <c r="D17" s="27"/>
      <c r="M17" s="28"/>
    </row>
    <row r="18" spans="2:15" x14ac:dyDescent="0.35">
      <c r="B18" s="31" t="s">
        <v>103</v>
      </c>
      <c r="C18" s="39">
        <f>IFERROR('Historical FS'!C17,0)</f>
        <v>7.6660908908102038E-2</v>
      </c>
      <c r="D18" s="39">
        <f>IFERROR('Historical FS'!D17,0)</f>
        <v>8.0040779911823637E-2</v>
      </c>
      <c r="E18" s="39">
        <f>IFERROR('Historical FS'!E17,0)</f>
        <v>0.10672678849247161</v>
      </c>
      <c r="F18" s="39">
        <f>IFERROR('Historical FS'!F17,0)</f>
        <v>0.12847809529452636</v>
      </c>
      <c r="G18" s="39">
        <f>IFERROR('Historical FS'!G17,0)</f>
        <v>0.10860201636437025</v>
      </c>
      <c r="H18" s="39">
        <f>IFERROR('Historical FS'!H17,0)</f>
        <v>0.11402504616835751</v>
      </c>
      <c r="I18" s="39">
        <f>IFERROR('Historical FS'!I17,0)</f>
        <v>0.12527323822987554</v>
      </c>
      <c r="J18" s="39">
        <f>IFERROR('Historical FS'!J17,0)</f>
        <v>8.8798023177028354E-2</v>
      </c>
      <c r="K18" s="39">
        <f>IFERROR('Historical FS'!K17,0)</f>
        <v>0.10929475436519734</v>
      </c>
      <c r="L18" s="39">
        <f>IFERROR('Historical FS'!L17,0)</f>
        <v>0.11488822184383672</v>
      </c>
      <c r="M18" s="55"/>
      <c r="N18" s="50">
        <f t="shared" si="2"/>
        <v>0.10527878727555892</v>
      </c>
      <c r="O18" s="50">
        <f t="shared" si="1"/>
        <v>0.1089483853647838</v>
      </c>
    </row>
    <row r="19" spans="2:15" x14ac:dyDescent="0.35">
      <c r="B19" s="34" t="s">
        <v>104</v>
      </c>
      <c r="C19" s="40">
        <f>IFERROR('Historical FS'!C26,0)</f>
        <v>4.757971849946438E-2</v>
      </c>
      <c r="D19" s="40">
        <f>IFERROR('Historical FS'!D26,0)</f>
        <v>5.0876584184966822E-2</v>
      </c>
      <c r="E19" s="40">
        <f>IFERROR('Historical FS'!E26,0)</f>
        <v>6.1201425695927715E-2</v>
      </c>
      <c r="F19" s="40">
        <f>IFERROR('Historical FS'!F26,0)</f>
        <v>6.63903865924938E-2</v>
      </c>
      <c r="G19" s="40">
        <f>IFERROR('Historical FS'!G26,0)</f>
        <v>7.3927472182518786E-2</v>
      </c>
      <c r="H19" s="40">
        <f>IFERROR('Historical FS'!H26,0)</f>
        <v>7.8130605447998658E-2</v>
      </c>
      <c r="I19" s="40">
        <f>IFERROR('Historical FS'!I26,0)</f>
        <v>8.206839774331566E-2</v>
      </c>
      <c r="J19" s="40">
        <f>IFERROR('Historical FS'!J26,0)</f>
        <v>9.4264230933596482E-2</v>
      </c>
      <c r="K19" s="40">
        <f>IFERROR('Historical FS'!K26,0)</f>
        <v>8.9191478279219347E-2</v>
      </c>
      <c r="L19" s="40">
        <f>IFERROR('Historical FS'!L26,0)</f>
        <v>7.1857611147098821E-2</v>
      </c>
      <c r="M19" s="28"/>
      <c r="N19" s="52">
        <f t="shared" si="2"/>
        <v>7.1548791070660034E-2</v>
      </c>
      <c r="O19" s="52">
        <f t="shared" si="1"/>
        <v>7.2892541664808796E-2</v>
      </c>
    </row>
    <row r="20" spans="2:15" x14ac:dyDescent="0.35">
      <c r="B20" s="36" t="s">
        <v>105</v>
      </c>
      <c r="C20" s="41">
        <f>C14</f>
        <v>0.10211238357890337</v>
      </c>
      <c r="D20" s="41">
        <f t="shared" ref="D20:L20" si="3">D14</f>
        <v>9.8229670900837146E-2</v>
      </c>
      <c r="E20" s="41">
        <f t="shared" si="3"/>
        <v>7.941702777851016E-2</v>
      </c>
      <c r="F20" s="41">
        <f t="shared" si="3"/>
        <v>4.3322300645279484E-2</v>
      </c>
      <c r="G20" s="41">
        <f t="shared" si="3"/>
        <v>3.3970412259310953E-2</v>
      </c>
      <c r="H20" s="41">
        <f t="shared" si="3"/>
        <v>3.5560233478087663E-3</v>
      </c>
      <c r="I20" s="41">
        <f t="shared" si="3"/>
        <v>-1.3170363258273456E-2</v>
      </c>
      <c r="J20" s="41">
        <f t="shared" si="3"/>
        <v>3.4991608110258483E-2</v>
      </c>
      <c r="K20" s="41">
        <f t="shared" si="3"/>
        <v>-4.1514992694289269E-4</v>
      </c>
      <c r="L20" s="41">
        <f t="shared" si="3"/>
        <v>2.0104346955433228E-2</v>
      </c>
      <c r="M20" s="56"/>
      <c r="N20" s="54">
        <f t="shared" si="2"/>
        <v>4.0211826039112518E-2</v>
      </c>
      <c r="O20" s="54">
        <f t="shared" si="1"/>
        <v>3.4481010184784722E-2</v>
      </c>
    </row>
    <row r="21" spans="2:15" x14ac:dyDescent="0.35">
      <c r="B21" s="26"/>
      <c r="C21" s="26"/>
      <c r="D21" s="27"/>
      <c r="M21" s="28"/>
    </row>
    <row r="22" spans="2:15" x14ac:dyDescent="0.35">
      <c r="B22" s="31" t="s">
        <v>106</v>
      </c>
      <c r="C22" s="39">
        <f>IFERROR(('Historical FS'!C19-'Historical FS'!C25)/('Historical FS'!C48+'Historical FS'!C49+'Historical FS'!C50),0)</f>
        <v>0.18832478532145183</v>
      </c>
      <c r="D22" s="39">
        <f>IFERROR(('Historical FS'!D19-'Historical FS'!D25)/('Historical FS'!D48+'Historical FS'!D49+'Historical FS'!D50),0)</f>
        <v>0.19904181268509033</v>
      </c>
      <c r="E22" s="39">
        <f>IFERROR(('Historical FS'!E19-'Historical FS'!E25)/('Historical FS'!E48+'Historical FS'!E49+'Historical FS'!E50),0)</f>
        <v>0.1462081011853561</v>
      </c>
      <c r="F22" s="39">
        <f>IFERROR(('Historical FS'!F19-'Historical FS'!F25)/('Historical FS'!F48+'Historical FS'!F49+'Historical FS'!F50),0)</f>
        <v>8.5490986154773282E-2</v>
      </c>
      <c r="G22" s="39">
        <f>IFERROR(('Historical FS'!G19-'Historical FS'!G25)/('Historical FS'!G48+'Historical FS'!G49+'Historical FS'!G50),0)</f>
        <v>5.3716113570365424E-2</v>
      </c>
      <c r="H22" s="39">
        <f>IFERROR(('Historical FS'!H19-'Historical FS'!H25)/('Historical FS'!H48+'Historical FS'!H49+'Historical FS'!H50),0)</f>
        <v>6.4542733637543747E-3</v>
      </c>
      <c r="I22" s="39">
        <f>IFERROR(('Historical FS'!I19-'Historical FS'!I25)/('Historical FS'!I48+'Historical FS'!I49+'Historical FS'!I50),0)</f>
        <v>-1.8387082646096023E-2</v>
      </c>
      <c r="J22" s="39">
        <f>IFERROR(('Historical FS'!J19-'Historical FS'!J25)/('Historical FS'!J48+'Historical FS'!J49+'Historical FS'!J50),0)</f>
        <v>4.4284324706251613E-2</v>
      </c>
      <c r="K22" s="39">
        <f>IFERROR(('Historical FS'!K19-'Historical FS'!K25)/('Historical FS'!K48+'Historical FS'!K49+'Historical FS'!K50),0)</f>
        <v>-6.0520306054739361E-4</v>
      </c>
      <c r="L22" s="39">
        <f>IFERROR(('Historical FS'!L19-'Historical FS'!L25)/('Historical FS'!L48+'Historical FS'!L49+'Historical FS'!L50),0)</f>
        <v>3.8762956416083731E-2</v>
      </c>
      <c r="M22" s="55"/>
      <c r="N22" s="50">
        <f t="shared" si="2"/>
        <v>7.4329106769648337E-2</v>
      </c>
      <c r="O22" s="50">
        <f t="shared" si="1"/>
        <v>4.9000219138308515E-2</v>
      </c>
    </row>
    <row r="23" spans="2:15" x14ac:dyDescent="0.35">
      <c r="B23" s="34" t="s">
        <v>107</v>
      </c>
      <c r="C23" s="40">
        <f>IFERROR('Historical FS'!C45,0)</f>
        <v>0.95485720817027164</v>
      </c>
      <c r="D23" s="40">
        <f>IFERROR('Historical FS'!D45,0)</f>
        <v>1</v>
      </c>
      <c r="E23" s="40">
        <f>IFERROR('Historical FS'!E45,0)</f>
        <v>0.99506765991253665</v>
      </c>
      <c r="F23" s="40">
        <f>IFERROR('Historical FS'!F45,0)</f>
        <v>1</v>
      </c>
      <c r="G23" s="40">
        <f>IFERROR('Historical FS'!G45,0)</f>
        <v>1</v>
      </c>
      <c r="H23" s="40">
        <f>IFERROR('Historical FS'!H45,0)</f>
        <v>0</v>
      </c>
      <c r="I23" s="40">
        <f>IFERROR('Historical FS'!I45,0)</f>
        <v>0</v>
      </c>
      <c r="J23" s="40">
        <f>IFERROR('Historical FS'!J45,0)</f>
        <v>0</v>
      </c>
      <c r="K23" s="40">
        <f>IFERROR('Historical FS'!K45,0)</f>
        <v>0</v>
      </c>
      <c r="L23" s="40">
        <f>IFERROR('Historical FS'!L45,0)</f>
        <v>0</v>
      </c>
      <c r="M23" s="28"/>
      <c r="N23" s="52">
        <f t="shared" si="2"/>
        <v>0.49499248680828084</v>
      </c>
      <c r="O23" s="52">
        <f t="shared" si="1"/>
        <v>0.47742860408513582</v>
      </c>
    </row>
    <row r="24" spans="2:15" x14ac:dyDescent="0.35">
      <c r="B24" s="34" t="s">
        <v>108</v>
      </c>
      <c r="C24" s="40">
        <f>IFERROR('Historical FS'!C34/('Historical FS'!C48+'Historical FS'!C49),0)</f>
        <v>0.21738140295975247</v>
      </c>
      <c r="D24" s="40">
        <f>IFERROR('Historical FS'!D34/('Historical FS'!D48+'Historical FS'!D49),0)</f>
        <v>0.23720520024912028</v>
      </c>
      <c r="E24" s="40">
        <f>IFERROR('Historical FS'!E34/('Historical FS'!E48+'Historical FS'!E49),0)</f>
        <v>0.17441316864171685</v>
      </c>
      <c r="F24" s="40">
        <f>IFERROR('Historical FS'!F34/('Historical FS'!F48+'Historical FS'!F49),0)</f>
        <v>7.2241189530689462E-2</v>
      </c>
      <c r="G24" s="40">
        <f>IFERROR('Historical FS'!G34/('Historical FS'!G48+'Historical FS'!G49),0)</f>
        <v>9.2254980749341738E-3</v>
      </c>
      <c r="H24" s="40">
        <f>IFERROR('Historical FS'!H34/('Historical FS'!H48+'Historical FS'!H49),0)</f>
        <v>-3.7345736658758823E-2</v>
      </c>
      <c r="I24" s="40">
        <f>IFERROR('Historical FS'!I34/('Historical FS'!I48+'Historical FS'!I49),0)</f>
        <v>-0.17805427751316827</v>
      </c>
      <c r="J24" s="40">
        <f>IFERROR('Historical FS'!J34/('Historical FS'!J48+'Historical FS'!J49),0)</f>
        <v>-3.4360591904822796E-2</v>
      </c>
      <c r="K24" s="40">
        <f>IFERROR('Historical FS'!K34/('Historical FS'!K48+'Historical FS'!K49),0)</f>
        <v>-0.30651638060341196</v>
      </c>
      <c r="L24" s="40">
        <f>IFERROR('Historical FS'!L34/('Historical FS'!L48+'Historical FS'!L49),0)</f>
        <v>-8.7686298356707479E-2</v>
      </c>
      <c r="M24" s="28"/>
      <c r="N24" s="52">
        <f t="shared" si="2"/>
        <v>6.6503174419344016E-3</v>
      </c>
      <c r="O24" s="52">
        <f t="shared" si="1"/>
        <v>-1.256754691494431E-2</v>
      </c>
    </row>
    <row r="25" spans="2:15" x14ac:dyDescent="0.35">
      <c r="B25" s="34" t="s">
        <v>109</v>
      </c>
      <c r="C25" s="40">
        <f>C23*C24</f>
        <v>0.20756819953828606</v>
      </c>
      <c r="D25" s="40">
        <f t="shared" ref="D25:L25" si="4">D23*D24</f>
        <v>0.23720520024912028</v>
      </c>
      <c r="E25" s="40">
        <f t="shared" si="4"/>
        <v>0.17355290357824379</v>
      </c>
      <c r="F25" s="40">
        <f t="shared" si="4"/>
        <v>7.2241189530689462E-2</v>
      </c>
      <c r="G25" s="40">
        <f t="shared" si="4"/>
        <v>9.2254980749341738E-3</v>
      </c>
      <c r="H25" s="40">
        <f t="shared" si="4"/>
        <v>0</v>
      </c>
      <c r="I25" s="40">
        <f t="shared" si="4"/>
        <v>0</v>
      </c>
      <c r="J25" s="40">
        <f t="shared" si="4"/>
        <v>0</v>
      </c>
      <c r="K25" s="40">
        <f t="shared" si="4"/>
        <v>0</v>
      </c>
      <c r="L25" s="40">
        <f t="shared" si="4"/>
        <v>0</v>
      </c>
      <c r="M25" s="28"/>
      <c r="N25" s="52">
        <f t="shared" si="2"/>
        <v>6.9979299097127384E-2</v>
      </c>
      <c r="O25" s="52">
        <f t="shared" si="1"/>
        <v>4.6127490374670869E-3</v>
      </c>
    </row>
    <row r="26" spans="2:15" x14ac:dyDescent="0.35">
      <c r="B26" s="36" t="s">
        <v>110</v>
      </c>
      <c r="C26" s="42">
        <f>IFERROR(('Historical FS'!C19-'Historical FS'!C25)/'Historical FS'!C22,0)</f>
        <v>5.0058954318824904</v>
      </c>
      <c r="D26" s="42">
        <f>IFERROR(('Historical FS'!D19-'Historical FS'!D25)/'Historical FS'!D22,0)</f>
        <v>5.3173039541375138</v>
      </c>
      <c r="E26" s="42">
        <f>IFERROR(('Historical FS'!E19-'Historical FS'!E25)/'Historical FS'!E22,0)</f>
        <v>4.4352863933500721</v>
      </c>
      <c r="F26" s="42">
        <f>IFERROR(('Historical FS'!F19-'Historical FS'!F25)/'Historical FS'!F22,0)</f>
        <v>2.7568835373205922</v>
      </c>
      <c r="G26" s="42">
        <f>IFERROR(('Historical FS'!G19-'Historical FS'!G25)/'Historical FS'!G22,0)</f>
        <v>2.1154494328024094</v>
      </c>
      <c r="H26" s="42">
        <f>IFERROR(('Historical FS'!H19-'Historical FS'!H25)/'Historical FS'!H22,0)</f>
        <v>0.18645156808947008</v>
      </c>
      <c r="I26" s="42">
        <f>IFERROR(('Historical FS'!I19-'Historical FS'!I25)/'Historical FS'!I22,0)</f>
        <v>-0.47469326953211261</v>
      </c>
      <c r="J26" s="42">
        <f>IFERROR(('Historical FS'!J19-'Historical FS'!J25)/'Historical FS'!J22,0)</f>
        <v>1.079478385658198</v>
      </c>
      <c r="K26" s="42">
        <f>IFERROR(('Historical FS'!K19-'Historical FS'!K25)/'Historical FS'!K22,0)</f>
        <v>-1.2414275987824557E-2</v>
      </c>
      <c r="L26" s="42">
        <f>IFERROR(('Historical FS'!L19-'Historical FS'!L25)/'Historical FS'!L22,0)</f>
        <v>0.68020669934320532</v>
      </c>
      <c r="M26" s="56"/>
      <c r="N26" s="42">
        <f t="shared" si="2"/>
        <v>2.1089847857064017</v>
      </c>
      <c r="O26" s="42">
        <f t="shared" si="1"/>
        <v>1.5974639092303038</v>
      </c>
    </row>
    <row r="27" spans="2:15" x14ac:dyDescent="0.35">
      <c r="B27" s="26"/>
      <c r="C27" s="26"/>
      <c r="D27" s="27"/>
      <c r="M27" s="28"/>
    </row>
    <row r="28" spans="2:15" x14ac:dyDescent="0.35">
      <c r="B28" s="31" t="s">
        <v>111</v>
      </c>
      <c r="C28" s="43">
        <f>IFERROR('Historical FS'!C7/'Historical FS'!C60,0)</f>
        <v>22.018970648453838</v>
      </c>
      <c r="D28" s="43">
        <f>IFERROR('Historical FS'!D7/'Historical FS'!D60,0)</f>
        <v>20.92016821419486</v>
      </c>
      <c r="E28" s="43">
        <f>IFERROR('Historical FS'!E7/'Historical FS'!E60,0)</f>
        <v>20.119918266350599</v>
      </c>
      <c r="F28" s="43">
        <f>IFERROR('Historical FS'!F7/'Historical FS'!F60,0)</f>
        <v>19.160353236640844</v>
      </c>
      <c r="G28" s="43">
        <f>IFERROR('Historical FS'!G7/'Historical FS'!G60,0)</f>
        <v>14.655712224718874</v>
      </c>
      <c r="H28" s="43">
        <f>IFERROR('Historical FS'!H7/'Historical FS'!H60,0)</f>
        <v>15.894698773489607</v>
      </c>
      <c r="I28" s="43">
        <f>IFERROR('Historical FS'!I7/'Historical FS'!I60,0)</f>
        <v>23.366617170976728</v>
      </c>
      <c r="J28" s="43">
        <f>IFERROR('Historical FS'!J7/'Historical FS'!J60,0)</f>
        <v>19.701330853658153</v>
      </c>
      <c r="K28" s="43">
        <f>IFERROR('Historical FS'!K7/'Historical FS'!K60,0)</f>
        <v>22.379917570317598</v>
      </c>
      <c r="L28" s="43">
        <f>IFERROR('Historical FS'!L7/'Historical FS'!L60,0)</f>
        <v>21.982947610142858</v>
      </c>
      <c r="M28" s="55"/>
      <c r="N28" s="43">
        <f t="shared" si="2"/>
        <v>20.020063456894395</v>
      </c>
      <c r="O28" s="43">
        <f t="shared" si="1"/>
        <v>20.520043240272727</v>
      </c>
    </row>
    <row r="29" spans="2:15" x14ac:dyDescent="0.35">
      <c r="B29" s="34" t="s">
        <v>112</v>
      </c>
      <c r="C29" s="44">
        <f>IFERROR('Historical FS'!C7/'Historical FS'!C51,0)</f>
        <v>2.5258516302731193</v>
      </c>
      <c r="D29" s="44">
        <f>IFERROR('Historical FS'!D7/'Historical FS'!D51,0)</f>
        <v>2.4493010585757142</v>
      </c>
      <c r="E29" s="44">
        <f>IFERROR('Historical FS'!E7/'Historical FS'!E51,0)</f>
        <v>2.3769603927858673</v>
      </c>
      <c r="F29" s="44">
        <f>IFERROR('Historical FS'!F7/'Historical FS'!F51,0)</f>
        <v>1.9842807783040648</v>
      </c>
      <c r="G29" s="44">
        <f>IFERROR('Historical FS'!G7/'Historical FS'!G51,0)</f>
        <v>2.0414780318629697</v>
      </c>
      <c r="H29" s="44">
        <f>IFERROR('Historical FS'!H7/'Historical FS'!H51,0)</f>
        <v>2.1667847518227492</v>
      </c>
      <c r="I29" s="44">
        <f>IFERROR('Historical FS'!I7/'Historical FS'!I51,0)</f>
        <v>1.9602534811345065</v>
      </c>
      <c r="J29" s="44">
        <f>IFERROR('Historical FS'!J7/'Historical FS'!J51,0)</f>
        <v>1.7323684804395676</v>
      </c>
      <c r="K29" s="44">
        <f>IFERROR('Historical FS'!K7/'Historical FS'!K51,0)</f>
        <v>2.0170312149360217</v>
      </c>
      <c r="L29" s="44">
        <f>IFERROR('Historical FS'!L7/'Historical FS'!L51,0)</f>
        <v>2.2286057258733614</v>
      </c>
      <c r="M29" s="28"/>
      <c r="N29" s="44">
        <f t="shared" si="2"/>
        <v>2.1482915546007941</v>
      </c>
      <c r="O29" s="44">
        <f t="shared" si="1"/>
        <v>2.1041313918428592</v>
      </c>
    </row>
    <row r="30" spans="2:15" x14ac:dyDescent="0.35">
      <c r="B30" s="34" t="s">
        <v>113</v>
      </c>
      <c r="C30" s="44">
        <f>IFERROR('Historical FS'!C7/'Historical FS'!C61,0)</f>
        <v>8.5378093637574715</v>
      </c>
      <c r="D30" s="44">
        <f>IFERROR('Historical FS'!D7/'Historical FS'!D61,0)</f>
        <v>8.9900219797938927</v>
      </c>
      <c r="E30" s="44">
        <f>IFERROR('Historical FS'!E7/'Historical FS'!E61,0)</f>
        <v>8.3613381173839922</v>
      </c>
      <c r="F30" s="44">
        <f>IFERROR('Historical FS'!F7/'Historical FS'!F61,0)</f>
        <v>7.6867643466738649</v>
      </c>
      <c r="G30" s="44">
        <f>IFERROR('Historical FS'!G7/'Historical FS'!G61,0)</f>
        <v>6.9190051742350009</v>
      </c>
      <c r="H30" s="44">
        <f>IFERROR('Historical FS'!H7/'Historical FS'!H61,0)</f>
        <v>7.7392856309817084</v>
      </c>
      <c r="I30" s="44">
        <f>IFERROR('Historical FS'!I7/'Historical FS'!I61,0)</f>
        <v>6.9698269049637886</v>
      </c>
      <c r="J30" s="44">
        <f>IFERROR('Historical FS'!J7/'Historical FS'!J61,0)</f>
        <v>6.9217098811563442</v>
      </c>
      <c r="K30" s="44">
        <f>IFERROR('Historical FS'!K7/'Historical FS'!K61,0)</f>
        <v>7.9015588385356104</v>
      </c>
      <c r="L30" s="44">
        <f>IFERROR('Historical FS'!L7/'Historical FS'!L61,0)</f>
        <v>8.4888641723217457</v>
      </c>
      <c r="M30" s="28"/>
      <c r="N30" s="44">
        <f t="shared" si="2"/>
        <v>7.8516184409803413</v>
      </c>
      <c r="O30" s="44">
        <f t="shared" si="1"/>
        <v>7.8204222347586594</v>
      </c>
    </row>
    <row r="31" spans="2:15" x14ac:dyDescent="0.35">
      <c r="B31" s="34" t="s">
        <v>114</v>
      </c>
      <c r="C31" s="44">
        <f>IFERROR('Historical FS'!C7/'Historical FS'!C54,0)</f>
        <v>3.3699237549186467</v>
      </c>
      <c r="D31" s="44">
        <f>IFERROR('Historical FS'!D7/'Historical FS'!D54,0)</f>
        <v>2.9742370802544178</v>
      </c>
      <c r="E31" s="44">
        <f>IFERROR('Historical FS'!E7/'Historical FS'!E54,0)</f>
        <v>2.546312771514708</v>
      </c>
      <c r="F31" s="44">
        <f>IFERROR('Historical FS'!F7/'Historical FS'!F54,0)</f>
        <v>2.8109343484246239</v>
      </c>
      <c r="G31" s="44">
        <f>IFERROR('Historical FS'!G7/'Historical FS'!G54,0)</f>
        <v>2.4012948768781421</v>
      </c>
      <c r="H31" s="44">
        <f>IFERROR('Historical FS'!H7/'Historical FS'!H54,0)</f>
        <v>2.7144319562092578</v>
      </c>
      <c r="I31" s="44">
        <f>IFERROR('Historical FS'!I7/'Historical FS'!I54,0)</f>
        <v>2.0539205744067566</v>
      </c>
      <c r="J31" s="44">
        <f>IFERROR('Historical FS'!J7/'Historical FS'!J54,0)</f>
        <v>1.8008727134726064</v>
      </c>
      <c r="K31" s="44">
        <f>IFERROR('Historical FS'!K7/'Historical FS'!K54,0)</f>
        <v>2.0053488717943728</v>
      </c>
      <c r="L31" s="44">
        <f>IFERROR('Historical FS'!L7/'Historical FS'!L54,0)</f>
        <v>2.6193791539294131</v>
      </c>
      <c r="M31" s="28"/>
      <c r="N31" s="44">
        <f t="shared" si="2"/>
        <v>2.5296656101802943</v>
      </c>
      <c r="O31" s="44">
        <f t="shared" si="1"/>
        <v>2.5828459627220606</v>
      </c>
    </row>
    <row r="32" spans="2:15" x14ac:dyDescent="0.35">
      <c r="B32" s="36" t="s">
        <v>115</v>
      </c>
      <c r="C32" s="42">
        <f>IFERROR('Historical FS'!C7/('Historical FS'!C48+'Historical FS'!C49),0)</f>
        <v>3.549106944832932</v>
      </c>
      <c r="D32" s="42">
        <f>IFERROR('Historical FS'!D7/('Historical FS'!D48+'Historical FS'!D49),0)</f>
        <v>4.6773906756114965</v>
      </c>
      <c r="E32" s="42">
        <f>IFERROR('Historical FS'!E7/('Historical FS'!E48+'Historical FS'!E49),0)</f>
        <v>3.4583567493379874</v>
      </c>
      <c r="F32" s="42">
        <f>IFERROR('Historical FS'!F7/('Historical FS'!F48+'Historical FS'!F49),0)</f>
        <v>4.6449144180459854</v>
      </c>
      <c r="G32" s="42">
        <f>IFERROR('Historical FS'!G7/('Historical FS'!G48+'Historical FS'!G49),0)</f>
        <v>3.0551908765475422</v>
      </c>
      <c r="H32" s="42">
        <f>IFERROR('Historical FS'!H7/('Historical FS'!H48+'Historical FS'!H49),0)</f>
        <v>5.0172915853821474</v>
      </c>
      <c r="I32" s="42">
        <f>IFERROR('Historical FS'!I7/('Historical FS'!I48+'Historical FS'!I49),0)</f>
        <v>4.196490075795241</v>
      </c>
      <c r="J32" s="42">
        <f>IFERROR('Historical FS'!J7/('Historical FS'!J48+'Historical FS'!J49),0)</f>
        <v>4.5214403678625628</v>
      </c>
      <c r="K32" s="42">
        <f>IFERROR('Historical FS'!K7/('Historical FS'!K48+'Historical FS'!K49),0)</f>
        <v>6.2487852671963351</v>
      </c>
      <c r="L32" s="42">
        <f>IFERROR('Historical FS'!L7/('Historical FS'!L48+'Historical FS'!L49),0)</f>
        <v>7.6335680916398054</v>
      </c>
      <c r="M32" s="56"/>
      <c r="N32" s="42">
        <f t="shared" si="2"/>
        <v>4.700253505225203</v>
      </c>
      <c r="O32" s="42">
        <f t="shared" si="1"/>
        <v>4.5831773929542745</v>
      </c>
    </row>
    <row r="33" spans="2:15" x14ac:dyDescent="0.35">
      <c r="B33" s="26"/>
      <c r="C33" s="26"/>
      <c r="D33" s="27"/>
      <c r="M33" s="28"/>
    </row>
    <row r="34" spans="2:15" x14ac:dyDescent="0.35">
      <c r="B34" s="47" t="s">
        <v>123</v>
      </c>
      <c r="C34" s="26"/>
      <c r="D34" s="27"/>
      <c r="M34" s="28"/>
    </row>
    <row r="35" spans="2:15" x14ac:dyDescent="0.35">
      <c r="B35" s="31" t="s">
        <v>116</v>
      </c>
      <c r="C35" s="48">
        <f>IFERROR(365/C28,0)</f>
        <v>16.576615039251624</v>
      </c>
      <c r="D35" s="48">
        <f t="shared" ref="D35:L35" si="5">IFERROR(365/D28,0)</f>
        <v>17.447278447423685</v>
      </c>
      <c r="E35" s="48">
        <f t="shared" si="5"/>
        <v>18.141226776772818</v>
      </c>
      <c r="F35" s="48">
        <f t="shared" si="5"/>
        <v>19.049753180019717</v>
      </c>
      <c r="G35" s="48">
        <f t="shared" si="5"/>
        <v>24.904964999543136</v>
      </c>
      <c r="H35" s="48">
        <f t="shared" si="5"/>
        <v>22.963631157878556</v>
      </c>
      <c r="I35" s="48">
        <f t="shared" si="5"/>
        <v>15.620575170519771</v>
      </c>
      <c r="J35" s="48">
        <f t="shared" si="5"/>
        <v>18.52666719376608</v>
      </c>
      <c r="K35" s="48">
        <f t="shared" si="5"/>
        <v>16.309264717046954</v>
      </c>
      <c r="L35" s="48">
        <f t="shared" si="5"/>
        <v>16.603778823163378</v>
      </c>
      <c r="M35" s="55"/>
      <c r="N35" s="48">
        <f t="shared" ref="N35:N42" si="6">IFERROR(AVERAGE(C35:L35),0)</f>
        <v>18.614375550538572</v>
      </c>
      <c r="O35" s="48">
        <f t="shared" ref="O35:O38" si="7">IFERROR(MEDIAN(C35:L35),0)</f>
        <v>17.794252612098251</v>
      </c>
    </row>
    <row r="36" spans="2:15" x14ac:dyDescent="0.35">
      <c r="B36" s="34" t="s">
        <v>117</v>
      </c>
      <c r="C36" s="45">
        <f>IFERROR(365/C29,0)</f>
        <v>144.50571665626009</v>
      </c>
      <c r="D36" s="45">
        <f t="shared" ref="D36:L36" si="8">IFERROR(365/D29,0)</f>
        <v>149.02210519283818</v>
      </c>
      <c r="E36" s="45">
        <f t="shared" si="8"/>
        <v>153.55745981623585</v>
      </c>
      <c r="F36" s="45">
        <f t="shared" si="8"/>
        <v>183.94574194885871</v>
      </c>
      <c r="G36" s="45">
        <f t="shared" si="8"/>
        <v>178.79202925682029</v>
      </c>
      <c r="H36" s="45">
        <f t="shared" si="8"/>
        <v>168.45235766633192</v>
      </c>
      <c r="I36" s="45">
        <f t="shared" si="8"/>
        <v>186.20040903524091</v>
      </c>
      <c r="J36" s="45">
        <f t="shared" si="8"/>
        <v>210.69420514242194</v>
      </c>
      <c r="K36" s="45">
        <f t="shared" si="8"/>
        <v>180.95902398395825</v>
      </c>
      <c r="L36" s="45">
        <f t="shared" si="8"/>
        <v>163.77953074537726</v>
      </c>
      <c r="M36" s="28"/>
      <c r="N36" s="45">
        <f t="shared" si="6"/>
        <v>171.99085794443434</v>
      </c>
      <c r="O36" s="45">
        <f t="shared" si="7"/>
        <v>173.6221934615761</v>
      </c>
    </row>
    <row r="37" spans="2:15" x14ac:dyDescent="0.35">
      <c r="B37" s="34" t="s">
        <v>118</v>
      </c>
      <c r="C37" s="45">
        <f>IFERROR(365/C30,0)</f>
        <v>42.751013105235728</v>
      </c>
      <c r="D37" s="45">
        <f t="shared" ref="D37:L37" si="9">IFERROR(365/D30,0)</f>
        <v>40.600568143256986</v>
      </c>
      <c r="E37" s="45">
        <f t="shared" si="9"/>
        <v>43.653299851746382</v>
      </c>
      <c r="F37" s="45">
        <f t="shared" si="9"/>
        <v>47.484218786795374</v>
      </c>
      <c r="G37" s="45">
        <f t="shared" si="9"/>
        <v>52.753248596949661</v>
      </c>
      <c r="H37" s="45">
        <f t="shared" si="9"/>
        <v>47.161975588398164</v>
      </c>
      <c r="I37" s="45">
        <f t="shared" si="9"/>
        <v>52.368588915752468</v>
      </c>
      <c r="J37" s="45">
        <f t="shared" si="9"/>
        <v>52.732634893247351</v>
      </c>
      <c r="K37" s="45">
        <f t="shared" si="9"/>
        <v>46.193416698982041</v>
      </c>
      <c r="L37" s="45">
        <f t="shared" si="9"/>
        <v>42.997507392107408</v>
      </c>
      <c r="M37" s="28"/>
      <c r="N37" s="45">
        <f t="shared" si="6"/>
        <v>46.869647197247154</v>
      </c>
      <c r="O37" s="45">
        <f t="shared" si="7"/>
        <v>46.677696143690099</v>
      </c>
    </row>
    <row r="38" spans="2:15" x14ac:dyDescent="0.35">
      <c r="B38" s="36" t="s">
        <v>124</v>
      </c>
      <c r="C38" s="46">
        <f>(C35+C37)-C36</f>
        <v>-85.178088511772742</v>
      </c>
      <c r="D38" s="46">
        <f t="shared" ref="D38:L38" si="10">(D35+D37)-D36</f>
        <v>-90.974258602157505</v>
      </c>
      <c r="E38" s="46">
        <f t="shared" si="10"/>
        <v>-91.762933187716641</v>
      </c>
      <c r="F38" s="46">
        <f t="shared" si="10"/>
        <v>-117.41176998204362</v>
      </c>
      <c r="G38" s="46">
        <f t="shared" si="10"/>
        <v>-101.13381566032749</v>
      </c>
      <c r="H38" s="46">
        <f t="shared" si="10"/>
        <v>-98.326750920055204</v>
      </c>
      <c r="I38" s="46">
        <f t="shared" si="10"/>
        <v>-118.21124494896867</v>
      </c>
      <c r="J38" s="46">
        <f t="shared" si="10"/>
        <v>-139.43490305540851</v>
      </c>
      <c r="K38" s="46">
        <f t="shared" si="10"/>
        <v>-118.45634256792925</v>
      </c>
      <c r="L38" s="46">
        <f t="shared" si="10"/>
        <v>-104.17824453010647</v>
      </c>
      <c r="M38" s="56"/>
      <c r="N38" s="46">
        <f t="shared" si="6"/>
        <v>-106.50683519664862</v>
      </c>
      <c r="O38" s="46">
        <f t="shared" si="7"/>
        <v>-102.65603009521698</v>
      </c>
    </row>
    <row r="39" spans="2:15" x14ac:dyDescent="0.35">
      <c r="B39" s="26"/>
      <c r="C39" s="26"/>
      <c r="D39" s="27"/>
      <c r="M39" s="28"/>
    </row>
    <row r="40" spans="2:15" x14ac:dyDescent="0.35">
      <c r="B40" s="31" t="s">
        <v>119</v>
      </c>
      <c r="C40" s="39">
        <f>IFERROR('Historical FS'!C71/'Historical FS'!C7,0)</f>
        <v>0.15526603842416944</v>
      </c>
      <c r="D40" s="39">
        <f>IFERROR('Historical FS'!D71/'Historical FS'!D7,0)</f>
        <v>0.13501823118481462</v>
      </c>
      <c r="E40" s="39">
        <f>IFERROR('Historical FS'!E71/'Historical FS'!E7,0)</f>
        <v>0.13880296917437968</v>
      </c>
      <c r="F40" s="39">
        <f>IFERROR('Historical FS'!F71/'Historical FS'!F7,0)</f>
        <v>0.11197659883101685</v>
      </c>
      <c r="G40" s="39">
        <f>IFERROR('Historical FS'!G71/'Historical FS'!G7,0)</f>
        <v>8.1829465689783804E-2</v>
      </c>
      <c r="H40" s="39">
        <f>IFERROR('Historical FS'!H71/'Historical FS'!H7,0)</f>
        <v>6.2564913902968283E-2</v>
      </c>
      <c r="I40" s="39">
        <f>IFERROR('Historical FS'!I71/'Historical FS'!I7,0)</f>
        <v>0.10201534872316967</v>
      </c>
      <c r="J40" s="39">
        <f>IFERROR('Historical FS'!J71/'Historical FS'!J7,0)</f>
        <v>0.11609735592921788</v>
      </c>
      <c r="K40" s="39">
        <f>IFERROR('Historical FS'!K71/'Historical FS'!K7,0)</f>
        <v>5.1293389541856201E-2</v>
      </c>
      <c r="L40" s="39">
        <f>IFERROR('Historical FS'!L71/'Historical FS'!L7,0)</f>
        <v>0.1022872501383586</v>
      </c>
      <c r="M40" s="55"/>
      <c r="N40" s="50">
        <f t="shared" si="6"/>
        <v>0.10571515615397349</v>
      </c>
      <c r="O40" s="50">
        <f t="shared" ref="O40:O42" si="11">IFERROR(MEDIAN(C40:L40),0)</f>
        <v>0.10713192448468772</v>
      </c>
    </row>
    <row r="41" spans="2:15" x14ac:dyDescent="0.35">
      <c r="B41" s="34" t="s">
        <v>120</v>
      </c>
      <c r="C41" s="40">
        <f>IFERROR('Historical FS'!C71/'Historical FS'!C65,0)</f>
        <v>0.16550759367051515</v>
      </c>
      <c r="D41" s="40">
        <f>IFERROR('Historical FS'!D71/'Historical FS'!D65,0)</f>
        <v>0.14972206325615023</v>
      </c>
      <c r="E41" s="40">
        <f>IFERROR('Historical FS'!E71/'Historical FS'!E65,0)</f>
        <v>0.14400390114722728</v>
      </c>
      <c r="F41" s="40">
        <f>IFERROR('Historical FS'!F71/'Historical FS'!F65,0)</f>
        <v>0.11079026383265471</v>
      </c>
      <c r="G41" s="40">
        <f>IFERROR('Historical FS'!G71/'Historical FS'!G65,0)</f>
        <v>7.2915700426609081E-2</v>
      </c>
      <c r="H41" s="40">
        <f>IFERROR('Historical FS'!H71/'Historical FS'!H65,0)</f>
        <v>6.1794355046453676E-2</v>
      </c>
      <c r="I41" s="40">
        <f>IFERROR('Historical FS'!I71/'Historical FS'!I65,0)</f>
        <v>8.3181306579414735E-2</v>
      </c>
      <c r="J41" s="40">
        <f>IFERROR('Historical FS'!J71/'Historical FS'!J65,0)</f>
        <v>8.4903585330452558E-2</v>
      </c>
      <c r="K41" s="40">
        <f>IFERROR('Historical FS'!K71/'Historical FS'!K65,0)</f>
        <v>4.3404744809245228E-2</v>
      </c>
      <c r="L41" s="40">
        <f>IFERROR('Historical FS'!L71/'Historical FS'!L65,0)</f>
        <v>0.10573861289612117</v>
      </c>
      <c r="M41" s="28"/>
      <c r="N41" s="52">
        <f t="shared" si="6"/>
        <v>0.10219621269948438</v>
      </c>
      <c r="O41" s="52">
        <f t="shared" si="11"/>
        <v>9.5321099113286872E-2</v>
      </c>
    </row>
    <row r="42" spans="2:15" x14ac:dyDescent="0.35">
      <c r="B42" s="36" t="s">
        <v>121</v>
      </c>
      <c r="C42" s="41">
        <f>IFERROR('Historical FS'!C71/'Historical FS'!C50,0)</f>
        <v>0.59613787608249569</v>
      </c>
      <c r="D42" s="41">
        <f>IFERROR('Historical FS'!D71/'Historical FS'!D50,0)</f>
        <v>0.48269354366958256</v>
      </c>
      <c r="E42" s="41">
        <f>IFERROR('Historical FS'!E71/'Historical FS'!E50,0)</f>
        <v>0.54641813518923599</v>
      </c>
      <c r="F42" s="41">
        <f>IFERROR('Historical FS'!F71/'Historical FS'!F50,0)</f>
        <v>0.38419492244540293</v>
      </c>
      <c r="G42" s="41">
        <f>IFERROR('Historical FS'!G71/'Historical FS'!G50,0)</f>
        <v>0.26821016235214945</v>
      </c>
      <c r="H42" s="41">
        <f>IFERROR('Historical FS'!H71/'Historical FS'!H50,0)</f>
        <v>0.17792031558363741</v>
      </c>
      <c r="I42" s="41">
        <f>IFERROR('Historical FS'!I71/'Historical FS'!I50,0)</f>
        <v>0.21342610534184314</v>
      </c>
      <c r="J42" s="41">
        <f>IFERROR('Historical FS'!J71/'Historical FS'!J50,0)</f>
        <v>0.20404132622559662</v>
      </c>
      <c r="K42" s="41">
        <f>IFERROR('Historical FS'!K71/'Historical FS'!K50,0)</f>
        <v>9.7527651770721868E-2</v>
      </c>
      <c r="L42" s="41">
        <f>IFERROR('Historical FS'!L71/'Historical FS'!L50,0)</f>
        <v>0.26386624636576322</v>
      </c>
      <c r="M42" s="56"/>
      <c r="N42" s="54">
        <f t="shared" si="6"/>
        <v>0.32344362850264285</v>
      </c>
      <c r="O42" s="54">
        <f t="shared" si="11"/>
        <v>0.26603820435895631</v>
      </c>
    </row>
    <row r="43" spans="2:15" x14ac:dyDescent="0.35">
      <c r="C43" s="26"/>
    </row>
  </sheetData>
  <mergeCells count="2">
    <mergeCell ref="B3:O3"/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ast="1" xr2:uid="{125CE91C-9991-49E2-A964-B00F077B137F}">
          <x14:colorSeries rgb="FF00B0F0"/>
          <x14:colorNegative rgb="FFD00000"/>
          <x14:colorAxis rgb="FF000000"/>
          <x14:colorMarkers theme="1"/>
          <x14:colorFirst rgb="FFD00000"/>
          <x14:colorLast theme="1"/>
          <x14:colorHigh theme="1"/>
          <x14:colorLow rgb="FFD00000"/>
          <x14:sparklines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</x14:sparklines>
        </x14:sparklineGroup>
        <x14:sparklineGroup displayEmptyCellsAs="gap" markers="1" high="1" last="1" xr2:uid="{70701BA5-53BC-45AA-8F86-A23C60A48056}">
          <x14:colorSeries rgb="FF00B0F0"/>
          <x14:colorNegative rgb="FFD00000"/>
          <x14:colorAxis rgb="FF000000"/>
          <x14:colorMarkers theme="1"/>
          <x14:colorFirst rgb="FFD00000"/>
          <x14:colorLast theme="1"/>
          <x14:colorHigh theme="1"/>
          <x14:colorLow rgb="FFD00000"/>
          <x14:sparklines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  <x14:sparkline>
              <xm:f>'Ratio Analysis'!C42:L42</xm:f>
              <xm:sqref>M42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9CA1-1581-4EAB-96A9-C1B0C16F7F5B}">
  <dimension ref="B2:V21"/>
  <sheetViews>
    <sheetView showGridLines="0" topLeftCell="A7" workbookViewId="0">
      <selection activeCell="C5" sqref="C5:D14"/>
    </sheetView>
  </sheetViews>
  <sheetFormatPr defaultRowHeight="14.5" x14ac:dyDescent="0.35"/>
  <cols>
    <col min="1" max="1" width="1.90625" customWidth="1"/>
    <col min="2" max="2" width="12" bestFit="1" customWidth="1"/>
    <col min="3" max="3" width="6.54296875" bestFit="1" customWidth="1"/>
    <col min="4" max="4" width="9.453125" bestFit="1" customWidth="1"/>
    <col min="5" max="5" width="11.90625" bestFit="1" customWidth="1"/>
    <col min="6" max="6" width="1.90625" customWidth="1"/>
    <col min="7" max="7" width="12" bestFit="1" customWidth="1"/>
    <col min="8" max="8" width="6.54296875" bestFit="1" customWidth="1"/>
    <col min="9" max="9" width="8" bestFit="1" customWidth="1"/>
    <col min="10" max="10" width="13.90625" bestFit="1" customWidth="1"/>
    <col min="11" max="11" width="1.90625" customWidth="1"/>
    <col min="12" max="12" width="12" bestFit="1" customWidth="1"/>
    <col min="13" max="13" width="6.54296875" bestFit="1" customWidth="1"/>
    <col min="14" max="14" width="5.1796875" bestFit="1" customWidth="1"/>
    <col min="15" max="15" width="10.81640625" bestFit="1" customWidth="1"/>
    <col min="16" max="20" width="13.81640625" customWidth="1"/>
  </cols>
  <sheetData>
    <row r="2" spans="2:22" x14ac:dyDescent="0.35">
      <c r="C2" s="60"/>
      <c r="D2" s="60"/>
      <c r="E2" s="60"/>
      <c r="G2" s="60"/>
      <c r="H2" s="60"/>
      <c r="I2" s="60"/>
      <c r="J2" s="60"/>
      <c r="K2" s="60"/>
      <c r="L2" s="60"/>
      <c r="M2" s="60"/>
      <c r="N2" s="60"/>
    </row>
    <row r="3" spans="2:22" x14ac:dyDescent="0.35">
      <c r="B3" s="83" t="str">
        <f>'Data Sheet'!$B$1 &amp; " - " &amp; 'Data Sheet'!A17 &amp; " Forecasting"</f>
        <v>TATA MOTORS LTD - Sales Forecasting</v>
      </c>
      <c r="C3" s="83"/>
      <c r="D3" s="83"/>
      <c r="E3" s="83"/>
      <c r="G3" s="83" t="str">
        <f>'Data Sheet'!$B$1 &amp; " - " &amp; 'Historical FS'!B19 &amp; " Forecasting"</f>
        <v>TATA MOTORS LTD - EBITDA Forecasting</v>
      </c>
      <c r="H3" s="83"/>
      <c r="I3" s="83"/>
      <c r="J3" s="83"/>
      <c r="K3" s="62"/>
      <c r="L3" s="83" t="str">
        <f>'Data Sheet'!$B$1&amp;" - "&amp; 'Historical FS'!B39 &amp;" Forecasting"</f>
        <v>TATA MOTORS LTD - EPS Forecasting</v>
      </c>
      <c r="M3" s="83"/>
      <c r="N3" s="83"/>
      <c r="O3" s="83"/>
    </row>
    <row r="4" spans="2:22" x14ac:dyDescent="0.35">
      <c r="B4" s="29" t="s">
        <v>128</v>
      </c>
      <c r="C4" s="30" t="s">
        <v>129</v>
      </c>
      <c r="D4" s="30" t="s">
        <v>1</v>
      </c>
      <c r="E4" s="30" t="s">
        <v>59</v>
      </c>
      <c r="G4" s="29" t="s">
        <v>128</v>
      </c>
      <c r="H4" s="30" t="s">
        <v>129</v>
      </c>
      <c r="I4" s="30" t="s">
        <v>65</v>
      </c>
      <c r="J4" s="30" t="s">
        <v>95</v>
      </c>
      <c r="L4" s="29" t="s">
        <v>128</v>
      </c>
      <c r="M4" s="30" t="s">
        <v>129</v>
      </c>
      <c r="N4" s="30" t="s">
        <v>77</v>
      </c>
      <c r="O4" s="30" t="s">
        <v>158</v>
      </c>
    </row>
    <row r="5" spans="2:22" x14ac:dyDescent="0.35">
      <c r="B5" s="65">
        <v>1</v>
      </c>
      <c r="C5" s="77">
        <f>YEAR('Data Sheet'!B16)</f>
        <v>2014</v>
      </c>
      <c r="D5" s="76">
        <f t="array" ref="D5:D14">TRANSPOSE('Historical FS'!C7:L7)</f>
        <v>232833.66</v>
      </c>
      <c r="G5" s="65">
        <v>1</v>
      </c>
      <c r="H5" s="77">
        <f>C5</f>
        <v>2014</v>
      </c>
      <c r="I5" s="76">
        <f t="array" ref="I5:I14">TRANSPOSE('Historical FS'!C19:L19)</f>
        <v>34853.359999999971</v>
      </c>
      <c r="L5" s="65">
        <v>1</v>
      </c>
      <c r="M5" s="77">
        <f>H5</f>
        <v>2014</v>
      </c>
      <c r="N5" s="76">
        <f t="array" ref="N5:N14">TRANSPOSE('Historical FS'!C39:L39)</f>
        <v>49.390351180993186</v>
      </c>
    </row>
    <row r="6" spans="2:22" x14ac:dyDescent="0.35">
      <c r="B6" s="66">
        <f>B5+1</f>
        <v>2</v>
      </c>
      <c r="C6" s="77">
        <f>C5+1</f>
        <v>2015</v>
      </c>
      <c r="D6" s="76">
        <v>263158.98</v>
      </c>
      <c r="E6" s="17">
        <f>(D6/D5)-1</f>
        <v>0.13024457030826198</v>
      </c>
      <c r="G6" s="66">
        <f>G5+1</f>
        <v>2</v>
      </c>
      <c r="H6" s="77">
        <f>H5+1</f>
        <v>2015</v>
      </c>
      <c r="I6" s="76">
        <v>39238.64999999998</v>
      </c>
      <c r="J6" s="17">
        <f>(I6/I5)-1</f>
        <v>0.12582115468924693</v>
      </c>
      <c r="K6" s="60"/>
      <c r="L6" s="66">
        <f>L5+1</f>
        <v>2</v>
      </c>
      <c r="M6" s="77">
        <f>M5+1</f>
        <v>2015</v>
      </c>
      <c r="N6" s="76">
        <v>46.22019810209872</v>
      </c>
      <c r="O6" s="17">
        <f>(N6/N5)-1</f>
        <v>-6.418567600941516E-2</v>
      </c>
      <c r="P6" s="60"/>
      <c r="Q6" s="60"/>
      <c r="R6" s="60"/>
      <c r="S6" s="60"/>
      <c r="T6" s="60"/>
      <c r="U6" s="60"/>
    </row>
    <row r="7" spans="2:22" x14ac:dyDescent="0.35">
      <c r="B7" s="66">
        <f t="shared" ref="B7:B19" si="0">B6+1</f>
        <v>3</v>
      </c>
      <c r="C7" s="77">
        <f t="shared" ref="C7:C19" si="1">C6+1</f>
        <v>2016</v>
      </c>
      <c r="D7" s="76">
        <v>273045.59999999998</v>
      </c>
      <c r="E7" s="17">
        <f t="shared" ref="E7:E19" si="2">(D7/D6)-1</f>
        <v>3.75690010654397E-2</v>
      </c>
      <c r="G7" s="66">
        <f t="shared" ref="G7:G19" si="3">G6+1</f>
        <v>3</v>
      </c>
      <c r="H7" s="77">
        <f t="shared" ref="H7:H19" si="4">H6+1</f>
        <v>2016</v>
      </c>
      <c r="I7" s="76">
        <v>38395.249999999971</v>
      </c>
      <c r="J7" s="17">
        <f>(I7/I6)-1</f>
        <v>-2.1494113584437979E-2</v>
      </c>
      <c r="K7" s="61"/>
      <c r="L7" s="66">
        <f t="shared" ref="L7:L19" si="5">L6+1</f>
        <v>3</v>
      </c>
      <c r="M7" s="77">
        <f t="shared" ref="M7:M19" si="6">M6+1</f>
        <v>2016</v>
      </c>
      <c r="N7" s="76">
        <v>47.694444444444336</v>
      </c>
      <c r="O7" s="17">
        <f>(N7/N6)-1</f>
        <v>3.1896149365025606E-2</v>
      </c>
      <c r="P7" s="61"/>
      <c r="Q7" s="61"/>
      <c r="R7" s="61"/>
      <c r="S7" s="61"/>
      <c r="T7" s="61"/>
      <c r="U7" s="61"/>
      <c r="V7" s="61"/>
    </row>
    <row r="8" spans="2:22" x14ac:dyDescent="0.35">
      <c r="B8" s="66">
        <f t="shared" si="0"/>
        <v>4</v>
      </c>
      <c r="C8" s="77">
        <f t="shared" si="1"/>
        <v>2017</v>
      </c>
      <c r="D8" s="76">
        <v>269692.51</v>
      </c>
      <c r="E8" s="17">
        <f t="shared" si="2"/>
        <v>-1.2280329732469508E-2</v>
      </c>
      <c r="G8" s="66">
        <f t="shared" si="3"/>
        <v>4</v>
      </c>
      <c r="H8" s="77">
        <f t="shared" si="4"/>
        <v>2017</v>
      </c>
      <c r="I8" s="76">
        <v>29588.690000000046</v>
      </c>
      <c r="J8" s="17">
        <f t="shared" ref="J8:J19" si="7">(I8/I7)-1</f>
        <v>-0.22936587208052905</v>
      </c>
      <c r="L8" s="66">
        <f t="shared" si="5"/>
        <v>4</v>
      </c>
      <c r="M8" s="77">
        <f t="shared" si="6"/>
        <v>2017</v>
      </c>
      <c r="N8" s="76">
        <v>14.527274616423796</v>
      </c>
      <c r="O8" s="17">
        <f t="shared" ref="O8:O19" si="8">(N8/N7)-1</f>
        <v>-0.6954095013446373</v>
      </c>
    </row>
    <row r="9" spans="2:22" x14ac:dyDescent="0.35">
      <c r="B9" s="66">
        <f t="shared" si="0"/>
        <v>5</v>
      </c>
      <c r="C9" s="77">
        <f t="shared" si="1"/>
        <v>2018</v>
      </c>
      <c r="D9" s="76">
        <v>291550.48</v>
      </c>
      <c r="E9" s="17">
        <f t="shared" si="2"/>
        <v>8.104774581985974E-2</v>
      </c>
      <c r="G9" s="66">
        <f t="shared" si="3"/>
        <v>5</v>
      </c>
      <c r="H9" s="77">
        <f t="shared" si="4"/>
        <v>2018</v>
      </c>
      <c r="I9" s="76">
        <v>31457.679999999993</v>
      </c>
      <c r="J9" s="17">
        <f t="shared" si="7"/>
        <v>6.3165689322506102E-2</v>
      </c>
      <c r="L9" s="66">
        <f t="shared" si="5"/>
        <v>5</v>
      </c>
      <c r="M9" s="77">
        <f t="shared" si="6"/>
        <v>2018</v>
      </c>
      <c r="N9" s="76">
        <v>3.049111626779315</v>
      </c>
      <c r="O9" s="17">
        <f t="shared" si="8"/>
        <v>-0.79011124197155702</v>
      </c>
    </row>
    <row r="10" spans="2:22" x14ac:dyDescent="0.35">
      <c r="B10" s="66">
        <f t="shared" si="0"/>
        <v>6</v>
      </c>
      <c r="C10" s="77">
        <f t="shared" si="1"/>
        <v>2019</v>
      </c>
      <c r="D10" s="76">
        <v>301938.40000000002</v>
      </c>
      <c r="E10" s="17">
        <f t="shared" si="2"/>
        <v>3.5629919045237157E-2</v>
      </c>
      <c r="G10" s="66">
        <f t="shared" si="3"/>
        <v>6</v>
      </c>
      <c r="H10" s="77">
        <f t="shared" si="4"/>
        <v>2019</v>
      </c>
      <c r="I10" s="76">
        <v>24664.330000000024</v>
      </c>
      <c r="J10" s="17">
        <f t="shared" si="7"/>
        <v>-0.21595203460649259</v>
      </c>
      <c r="L10" s="66">
        <f t="shared" si="5"/>
        <v>6</v>
      </c>
      <c r="M10" s="77">
        <f t="shared" si="6"/>
        <v>2019</v>
      </c>
      <c r="N10" s="76">
        <v>-7.783915769057514</v>
      </c>
      <c r="O10" s="17">
        <f t="shared" si="8"/>
        <v>-3.5528470983790879</v>
      </c>
    </row>
    <row r="11" spans="2:22" x14ac:dyDescent="0.35">
      <c r="B11" s="66">
        <f t="shared" si="0"/>
        <v>7</v>
      </c>
      <c r="C11" s="77">
        <f t="shared" si="1"/>
        <v>2020</v>
      </c>
      <c r="D11" s="76">
        <v>261067.97</v>
      </c>
      <c r="E11" s="17">
        <f t="shared" si="2"/>
        <v>-0.135360159555724</v>
      </c>
      <c r="G11" s="66">
        <f t="shared" si="3"/>
        <v>7</v>
      </c>
      <c r="H11" s="77">
        <f t="shared" si="4"/>
        <v>2020</v>
      </c>
      <c r="I11" s="76">
        <v>17987.069999999963</v>
      </c>
      <c r="J11" s="17">
        <f t="shared" si="7"/>
        <v>-0.27072537547138131</v>
      </c>
      <c r="L11" s="66">
        <f t="shared" si="5"/>
        <v>7</v>
      </c>
      <c r="M11" s="77">
        <f t="shared" si="6"/>
        <v>2020</v>
      </c>
      <c r="N11" s="76">
        <v>-35.859307219164897</v>
      </c>
      <c r="O11" s="17">
        <f t="shared" si="8"/>
        <v>3.6068467700681177</v>
      </c>
    </row>
    <row r="12" spans="2:22" x14ac:dyDescent="0.35">
      <c r="B12" s="66">
        <f t="shared" si="0"/>
        <v>8</v>
      </c>
      <c r="C12" s="77">
        <f t="shared" si="1"/>
        <v>2021</v>
      </c>
      <c r="D12" s="76">
        <v>249794.75</v>
      </c>
      <c r="E12" s="17">
        <f t="shared" si="2"/>
        <v>-4.3181168490336042E-2</v>
      </c>
      <c r="G12" s="66">
        <f t="shared" si="3"/>
        <v>8</v>
      </c>
      <c r="H12" s="77">
        <f t="shared" si="4"/>
        <v>2021</v>
      </c>
      <c r="I12" s="76">
        <v>32287.429999999989</v>
      </c>
      <c r="J12" s="17">
        <f t="shared" si="7"/>
        <v>0.79503554497758966</v>
      </c>
      <c r="L12" s="66">
        <f t="shared" si="5"/>
        <v>8</v>
      </c>
      <c r="M12" s="77">
        <f t="shared" si="6"/>
        <v>2021</v>
      </c>
      <c r="N12" s="76">
        <v>-5.7172845827184648</v>
      </c>
      <c r="O12" s="17">
        <f t="shared" si="8"/>
        <v>-0.84056344011958828</v>
      </c>
    </row>
    <row r="13" spans="2:22" x14ac:dyDescent="0.35">
      <c r="B13" s="66">
        <f t="shared" si="0"/>
        <v>9</v>
      </c>
      <c r="C13" s="77">
        <f t="shared" si="1"/>
        <v>2022</v>
      </c>
      <c r="D13" s="76">
        <v>278453.62</v>
      </c>
      <c r="E13" s="17">
        <f t="shared" si="2"/>
        <v>0.11472967306158344</v>
      </c>
      <c r="G13" s="66">
        <f t="shared" si="3"/>
        <v>9</v>
      </c>
      <c r="H13" s="77">
        <f t="shared" si="4"/>
        <v>2022</v>
      </c>
      <c r="I13" s="76">
        <v>24720.090000000015</v>
      </c>
      <c r="J13" s="17">
        <f t="shared" si="7"/>
        <v>-0.234374182150762</v>
      </c>
      <c r="L13" s="66">
        <f t="shared" si="5"/>
        <v>9</v>
      </c>
      <c r="M13" s="77">
        <f t="shared" si="6"/>
        <v>2022</v>
      </c>
      <c r="N13" s="76">
        <v>-41.132140813683819</v>
      </c>
      <c r="O13" s="17">
        <f t="shared" si="8"/>
        <v>6.194349033807625</v>
      </c>
    </row>
    <row r="14" spans="2:22" x14ac:dyDescent="0.35">
      <c r="B14" s="66">
        <f t="shared" si="0"/>
        <v>10</v>
      </c>
      <c r="C14" s="77">
        <f t="shared" si="1"/>
        <v>2023</v>
      </c>
      <c r="D14" s="76">
        <v>345966.97</v>
      </c>
      <c r="E14" s="17">
        <f t="shared" si="2"/>
        <v>0.24245815155859707</v>
      </c>
      <c r="G14" s="66">
        <f t="shared" si="3"/>
        <v>10</v>
      </c>
      <c r="H14" s="77">
        <f t="shared" si="4"/>
        <v>2023</v>
      </c>
      <c r="I14" s="76">
        <v>31815.799999999959</v>
      </c>
      <c r="J14" s="17">
        <f t="shared" si="7"/>
        <v>0.28704223973294352</v>
      </c>
      <c r="L14" s="66">
        <f t="shared" si="5"/>
        <v>10</v>
      </c>
      <c r="M14" s="77">
        <f t="shared" si="6"/>
        <v>2023</v>
      </c>
      <c r="N14" s="76">
        <v>-11.965495438533228</v>
      </c>
      <c r="O14" s="17">
        <f t="shared" si="8"/>
        <v>-0.70909621522659583</v>
      </c>
    </row>
    <row r="15" spans="2:22" x14ac:dyDescent="0.35">
      <c r="B15" s="79">
        <f t="shared" si="0"/>
        <v>11</v>
      </c>
      <c r="C15" s="80">
        <f t="shared" si="1"/>
        <v>2024</v>
      </c>
      <c r="D15" s="81">
        <f>FORECAST(B15,$D$5:$D$14,$B$5:$B$14)</f>
        <v>309867.70466666657</v>
      </c>
      <c r="E15" s="82">
        <f t="shared" si="2"/>
        <v>-0.10434309764696148</v>
      </c>
      <c r="G15" s="79">
        <f t="shared" si="3"/>
        <v>11</v>
      </c>
      <c r="H15" s="80">
        <f t="shared" si="4"/>
        <v>2024</v>
      </c>
      <c r="I15" s="81">
        <f>FORECAST(G15,$I$5:$I$14,$G$5:$G$14)</f>
        <v>23797.325999999983</v>
      </c>
      <c r="J15" s="82">
        <f t="shared" si="7"/>
        <v>-0.25202804895680719</v>
      </c>
      <c r="L15" s="79">
        <f t="shared" si="5"/>
        <v>11</v>
      </c>
      <c r="M15" s="80">
        <f t="shared" si="6"/>
        <v>2024</v>
      </c>
      <c r="N15" s="81">
        <f>FORECAST(L15,$N$5:$N$14,$L$5:$L$14)</f>
        <v>-47.24835671939627</v>
      </c>
      <c r="O15" s="82">
        <f t="shared" si="8"/>
        <v>2.9487171226725351</v>
      </c>
    </row>
    <row r="16" spans="2:22" x14ac:dyDescent="0.35">
      <c r="B16" s="79">
        <f t="shared" si="0"/>
        <v>12</v>
      </c>
      <c r="C16" s="80">
        <f t="shared" si="1"/>
        <v>2025</v>
      </c>
      <c r="D16" s="81">
        <f t="shared" ref="D16:D19" si="9">FORECAST(B16,$D$5:$D$14,$B$5:$B$14)</f>
        <v>315889.05206060596</v>
      </c>
      <c r="E16" s="82">
        <f t="shared" si="2"/>
        <v>1.9431994051838153E-2</v>
      </c>
      <c r="G16" s="79">
        <f t="shared" si="3"/>
        <v>12</v>
      </c>
      <c r="H16" s="80">
        <f t="shared" si="4"/>
        <v>2025</v>
      </c>
      <c r="I16" s="81">
        <f t="shared" ref="I16:I19" si="10">FORECAST(G16,$I$5:$I$14,$G$5:$G$14)</f>
        <v>22578.506181818164</v>
      </c>
      <c r="J16" s="82">
        <f t="shared" si="7"/>
        <v>-5.1216671073960995E-2</v>
      </c>
      <c r="L16" s="79">
        <f t="shared" si="5"/>
        <v>12</v>
      </c>
      <c r="M16" s="80">
        <f t="shared" si="6"/>
        <v>2025</v>
      </c>
      <c r="N16" s="81">
        <f t="shared" ref="N16:N19" si="11">FORECAST(L16,$N$5:$N$14,$L$5:$L$14)</f>
        <v>-56.90120768924254</v>
      </c>
      <c r="O16" s="82">
        <f t="shared" si="8"/>
        <v>0.20430024745989961</v>
      </c>
    </row>
    <row r="17" spans="2:15" x14ac:dyDescent="0.35">
      <c r="B17" s="79">
        <f t="shared" si="0"/>
        <v>13</v>
      </c>
      <c r="C17" s="80">
        <f t="shared" si="1"/>
        <v>2026</v>
      </c>
      <c r="D17" s="81">
        <f t="shared" si="9"/>
        <v>321910.39945454535</v>
      </c>
      <c r="E17" s="82">
        <f t="shared" si="2"/>
        <v>1.90615893607613E-2</v>
      </c>
      <c r="G17" s="79">
        <f t="shared" si="3"/>
        <v>13</v>
      </c>
      <c r="H17" s="80">
        <f t="shared" si="4"/>
        <v>2026</v>
      </c>
      <c r="I17" s="81">
        <f t="shared" si="10"/>
        <v>21359.686363636349</v>
      </c>
      <c r="J17" s="82">
        <f t="shared" si="7"/>
        <v>-5.3981419690346755E-2</v>
      </c>
      <c r="L17" s="79">
        <f t="shared" si="5"/>
        <v>13</v>
      </c>
      <c r="M17" s="80">
        <f t="shared" si="6"/>
        <v>2026</v>
      </c>
      <c r="N17" s="81">
        <f t="shared" si="11"/>
        <v>-66.554058659088795</v>
      </c>
      <c r="O17" s="82">
        <f t="shared" si="8"/>
        <v>0.16964228637402323</v>
      </c>
    </row>
    <row r="18" spans="2:15" x14ac:dyDescent="0.35">
      <c r="B18" s="79">
        <f t="shared" si="0"/>
        <v>14</v>
      </c>
      <c r="C18" s="80">
        <f t="shared" si="1"/>
        <v>2027</v>
      </c>
      <c r="D18" s="81">
        <f t="shared" si="9"/>
        <v>327931.74684848473</v>
      </c>
      <c r="E18" s="82">
        <f t="shared" si="2"/>
        <v>1.8705041539950784E-2</v>
      </c>
      <c r="G18" s="79">
        <f t="shared" si="3"/>
        <v>14</v>
      </c>
      <c r="H18" s="80">
        <f t="shared" si="4"/>
        <v>2027</v>
      </c>
      <c r="I18" s="81">
        <f t="shared" si="10"/>
        <v>20140.86654545453</v>
      </c>
      <c r="J18" s="82">
        <f t="shared" si="7"/>
        <v>-5.7061690767931439E-2</v>
      </c>
      <c r="L18" s="79">
        <f t="shared" si="5"/>
        <v>14</v>
      </c>
      <c r="M18" s="80">
        <f t="shared" si="6"/>
        <v>2027</v>
      </c>
      <c r="N18" s="81">
        <f t="shared" si="11"/>
        <v>-76.206909628935051</v>
      </c>
      <c r="O18" s="82">
        <f t="shared" si="8"/>
        <v>0.14503775072969249</v>
      </c>
    </row>
    <row r="19" spans="2:15" x14ac:dyDescent="0.35">
      <c r="B19" s="79">
        <f t="shared" si="0"/>
        <v>15</v>
      </c>
      <c r="C19" s="80">
        <f t="shared" si="1"/>
        <v>2028</v>
      </c>
      <c r="D19" s="81">
        <f t="shared" si="9"/>
        <v>333953.09424242418</v>
      </c>
      <c r="E19" s="82">
        <f t="shared" si="2"/>
        <v>1.8361587287007985E-2</v>
      </c>
      <c r="G19" s="79">
        <f t="shared" si="3"/>
        <v>15</v>
      </c>
      <c r="H19" s="80">
        <f t="shared" si="4"/>
        <v>2028</v>
      </c>
      <c r="I19" s="81">
        <f t="shared" si="10"/>
        <v>18922.046727272711</v>
      </c>
      <c r="J19" s="82">
        <f t="shared" si="7"/>
        <v>-6.0514765610066856E-2</v>
      </c>
      <c r="L19" s="79">
        <f t="shared" si="5"/>
        <v>15</v>
      </c>
      <c r="M19" s="80">
        <f t="shared" si="6"/>
        <v>2028</v>
      </c>
      <c r="N19" s="81">
        <f t="shared" si="11"/>
        <v>-85.859760598781293</v>
      </c>
      <c r="O19" s="82">
        <f t="shared" si="8"/>
        <v>0.12666634845642855</v>
      </c>
    </row>
    <row r="20" spans="2:15" x14ac:dyDescent="0.35">
      <c r="B20" s="66"/>
      <c r="C20" s="78"/>
    </row>
    <row r="21" spans="2:15" x14ac:dyDescent="0.35">
      <c r="B21" s="66"/>
      <c r="C21" s="78"/>
      <c r="D21" s="17"/>
    </row>
  </sheetData>
  <mergeCells count="3">
    <mergeCell ref="B3:E3"/>
    <mergeCell ref="G3:J3"/>
    <mergeCell ref="L3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C281-B6C8-45F2-8680-21D100A4778F}">
  <sheetPr>
    <tabColor theme="4" tint="-0.499984740745262"/>
  </sheetPr>
  <dimension ref="A1"/>
  <sheetViews>
    <sheetView workbookViewId="0">
      <selection activeCell="L24" sqref="L24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tabSelected="1" zoomScale="120" zoomScaleNormal="120" zoomScalePageLayoutView="120" workbookViewId="0">
      <pane xSplit="1" ySplit="1" topLeftCell="B8" activePane="bottomRight" state="frozen"/>
      <selection activeCell="C4" sqref="C4"/>
      <selection pane="topRight" activeCell="C4" sqref="C4"/>
      <selection pane="bottomLeft" activeCell="C4" sqref="C4"/>
      <selection pane="bottomRight" activeCell="D11" sqref="D11"/>
    </sheetView>
  </sheetViews>
  <sheetFormatPr defaultColWidth="8.81640625" defaultRowHeight="14.5" x14ac:dyDescent="0.35"/>
  <cols>
    <col min="1" max="1" width="27.6328125" style="2" bestFit="1" customWidth="1"/>
    <col min="2" max="11" width="13.453125" style="2" bestFit="1" customWidth="1"/>
    <col min="12" max="16384" width="8.81640625" style="2"/>
  </cols>
  <sheetData>
    <row r="1" spans="1:11" s="1" customFormat="1" x14ac:dyDescent="0.35">
      <c r="A1" s="1" t="s">
        <v>0</v>
      </c>
      <c r="B1" s="1" t="s">
        <v>32</v>
      </c>
      <c r="E1" s="85" t="str">
        <f>IF(B2&lt;&gt;B3, "A NEW VERSION OF THE WORKSHEET IS AVAILABLE", "")</f>
        <v/>
      </c>
      <c r="F1" s="85"/>
      <c r="G1" s="85"/>
      <c r="H1" s="85"/>
      <c r="I1" s="85"/>
      <c r="J1" s="85"/>
      <c r="K1" s="85"/>
    </row>
    <row r="2" spans="1:11" x14ac:dyDescent="0.35">
      <c r="A2" s="1" t="s">
        <v>30</v>
      </c>
      <c r="B2" s="2">
        <v>2.1</v>
      </c>
      <c r="E2" s="86" t="s">
        <v>21</v>
      </c>
      <c r="F2" s="86"/>
      <c r="G2" s="86"/>
      <c r="H2" s="86"/>
      <c r="I2" s="86"/>
      <c r="J2" s="86"/>
      <c r="K2" s="86"/>
    </row>
    <row r="3" spans="1:11" x14ac:dyDescent="0.35">
      <c r="A3" s="1" t="s">
        <v>31</v>
      </c>
      <c r="B3" s="2">
        <v>2.1</v>
      </c>
    </row>
    <row r="4" spans="1:11" x14ac:dyDescent="0.35">
      <c r="A4" s="1"/>
    </row>
    <row r="5" spans="1:11" x14ac:dyDescent="0.35">
      <c r="A5" s="1" t="s">
        <v>33</v>
      </c>
    </row>
    <row r="6" spans="1:11" x14ac:dyDescent="0.35">
      <c r="A6" s="2" t="s">
        <v>27</v>
      </c>
      <c r="B6" s="2">
        <f>IF(B9&gt;0, B9/B8, 0)</f>
        <v>366.52655751647882</v>
      </c>
    </row>
    <row r="7" spans="1:11" x14ac:dyDescent="0.35">
      <c r="A7" s="2" t="s">
        <v>16</v>
      </c>
      <c r="B7">
        <v>2</v>
      </c>
    </row>
    <row r="8" spans="1:11" x14ac:dyDescent="0.35">
      <c r="A8" s="2" t="s">
        <v>28</v>
      </c>
      <c r="B8">
        <v>705.45</v>
      </c>
    </row>
    <row r="9" spans="1:11" x14ac:dyDescent="0.35">
      <c r="A9" s="2" t="s">
        <v>43</v>
      </c>
      <c r="B9">
        <v>258566.16</v>
      </c>
    </row>
    <row r="15" spans="1:11" x14ac:dyDescent="0.35">
      <c r="A15" s="1" t="s">
        <v>22</v>
      </c>
    </row>
    <row r="16" spans="1:11" s="6" customFormat="1" x14ac:dyDescent="0.35">
      <c r="A16" s="5" t="s">
        <v>23</v>
      </c>
      <c r="B16" s="4">
        <v>41729</v>
      </c>
      <c r="C16" s="4">
        <v>42094</v>
      </c>
      <c r="D16" s="4">
        <v>42460</v>
      </c>
      <c r="E16" s="4">
        <v>42825</v>
      </c>
      <c r="F16" s="4">
        <v>43190</v>
      </c>
      <c r="G16" s="4">
        <v>43555</v>
      </c>
      <c r="H16" s="4">
        <v>43921</v>
      </c>
      <c r="I16" s="4">
        <v>44286</v>
      </c>
      <c r="J16" s="4">
        <v>44651</v>
      </c>
      <c r="K16" s="4">
        <v>45016</v>
      </c>
    </row>
    <row r="17" spans="1:11" s="3" customFormat="1" x14ac:dyDescent="0.35">
      <c r="A17" s="3" t="s">
        <v>1</v>
      </c>
      <c r="B17">
        <v>232833.66</v>
      </c>
      <c r="C17">
        <v>263158.98</v>
      </c>
      <c r="D17">
        <v>273045.59999999998</v>
      </c>
      <c r="E17">
        <v>269692.51</v>
      </c>
      <c r="F17">
        <v>291550.48</v>
      </c>
      <c r="G17">
        <v>301938.40000000002</v>
      </c>
      <c r="H17">
        <v>261067.97</v>
      </c>
      <c r="I17">
        <v>249794.75</v>
      </c>
      <c r="J17">
        <v>278453.62</v>
      </c>
      <c r="K17">
        <v>345966.97</v>
      </c>
    </row>
    <row r="18" spans="1:11" s="3" customFormat="1" x14ac:dyDescent="0.35">
      <c r="A18" s="2" t="s">
        <v>44</v>
      </c>
      <c r="B18">
        <v>146426.99</v>
      </c>
      <c r="C18">
        <v>163250.35999999999</v>
      </c>
      <c r="D18">
        <v>166134.01</v>
      </c>
      <c r="E18">
        <v>173294.07999999999</v>
      </c>
      <c r="F18">
        <v>187896.58</v>
      </c>
      <c r="G18">
        <v>194267.91</v>
      </c>
      <c r="H18">
        <v>164899.82</v>
      </c>
      <c r="I18">
        <v>153607.35999999999</v>
      </c>
      <c r="J18">
        <v>179295.33</v>
      </c>
      <c r="K18">
        <v>231251.26</v>
      </c>
    </row>
    <row r="19" spans="1:11" s="3" customFormat="1" x14ac:dyDescent="0.35">
      <c r="A19" s="2" t="s">
        <v>45</v>
      </c>
      <c r="B19">
        <v>2840.58</v>
      </c>
      <c r="C19">
        <v>3330.35</v>
      </c>
      <c r="D19">
        <v>2750.99</v>
      </c>
      <c r="E19">
        <v>7399.92</v>
      </c>
      <c r="F19">
        <v>2046.58</v>
      </c>
      <c r="G19">
        <v>-2053.2800000000002</v>
      </c>
      <c r="H19">
        <v>-2231.19</v>
      </c>
      <c r="I19">
        <v>-4684.16</v>
      </c>
      <c r="J19">
        <v>-1590.49</v>
      </c>
      <c r="K19">
        <v>4781.62</v>
      </c>
    </row>
    <row r="20" spans="1:11" s="3" customFormat="1" x14ac:dyDescent="0.35">
      <c r="A20" s="2" t="s">
        <v>46</v>
      </c>
      <c r="B20">
        <v>1128.69</v>
      </c>
      <c r="C20">
        <v>1121.75</v>
      </c>
      <c r="D20">
        <v>1143.6300000000001</v>
      </c>
      <c r="E20">
        <v>1159.82</v>
      </c>
      <c r="F20">
        <v>1308.08</v>
      </c>
      <c r="G20">
        <v>1585.93</v>
      </c>
      <c r="H20">
        <v>1264.95</v>
      </c>
      <c r="I20">
        <v>1112.8699999999999</v>
      </c>
      <c r="J20">
        <v>2178.29</v>
      </c>
      <c r="K20">
        <v>2513.33</v>
      </c>
    </row>
    <row r="21" spans="1:11" s="3" customFormat="1" x14ac:dyDescent="0.35">
      <c r="A21" s="2" t="s">
        <v>47</v>
      </c>
      <c r="B21">
        <v>13806.04</v>
      </c>
      <c r="C21">
        <v>16173.17</v>
      </c>
      <c r="D21">
        <v>12101.53</v>
      </c>
      <c r="E21">
        <v>10067.370000000001</v>
      </c>
      <c r="F21">
        <v>10971.66</v>
      </c>
      <c r="G21">
        <v>11694.54</v>
      </c>
      <c r="H21">
        <v>11541.51</v>
      </c>
      <c r="I21">
        <v>8273.17</v>
      </c>
      <c r="J21">
        <v>9427.3799999999992</v>
      </c>
      <c r="K21">
        <v>11765.97</v>
      </c>
    </row>
    <row r="22" spans="1:11" s="3" customFormat="1" x14ac:dyDescent="0.35">
      <c r="A22" s="2" t="s">
        <v>48</v>
      </c>
      <c r="B22">
        <v>21609.919999999998</v>
      </c>
      <c r="C22">
        <v>25641.95</v>
      </c>
      <c r="D22">
        <v>28880.89</v>
      </c>
      <c r="E22">
        <v>28332.89</v>
      </c>
      <c r="F22">
        <v>30300.09</v>
      </c>
      <c r="G22">
        <v>33243.870000000003</v>
      </c>
      <c r="H22">
        <v>30438.6</v>
      </c>
      <c r="I22">
        <v>27648.48</v>
      </c>
      <c r="J22">
        <v>30808.52</v>
      </c>
      <c r="K22">
        <v>33654.699999999997</v>
      </c>
    </row>
    <row r="23" spans="1:11" s="3" customFormat="1" x14ac:dyDescent="0.35">
      <c r="A23" s="2" t="s">
        <v>49</v>
      </c>
      <c r="B23">
        <v>22357.79</v>
      </c>
      <c r="C23">
        <v>23603.01</v>
      </c>
      <c r="D23">
        <v>21991.9</v>
      </c>
      <c r="E23">
        <v>30039.38</v>
      </c>
      <c r="F23">
        <v>31004.58</v>
      </c>
      <c r="G23">
        <v>32719.8</v>
      </c>
      <c r="H23">
        <v>29248.32</v>
      </c>
      <c r="I23">
        <v>23015.79</v>
      </c>
      <c r="J23">
        <v>29205.4</v>
      </c>
      <c r="K23">
        <v>34839.19</v>
      </c>
    </row>
    <row r="24" spans="1:11" s="3" customFormat="1" x14ac:dyDescent="0.35">
      <c r="A24" s="2" t="s">
        <v>50</v>
      </c>
      <c r="B24">
        <v>-4508.55</v>
      </c>
      <c r="C24">
        <v>-2539.56</v>
      </c>
      <c r="D24">
        <v>7149.38</v>
      </c>
      <c r="E24">
        <v>4610.2</v>
      </c>
      <c r="F24">
        <v>658.39</v>
      </c>
      <c r="G24">
        <v>1708.74</v>
      </c>
      <c r="H24">
        <v>3456.51</v>
      </c>
      <c r="I24">
        <v>-834.51</v>
      </c>
      <c r="J24">
        <v>1228.1199999999999</v>
      </c>
      <c r="K24">
        <v>4908.34</v>
      </c>
    </row>
    <row r="25" spans="1:11" s="3" customFormat="1" x14ac:dyDescent="0.35">
      <c r="A25" s="3" t="s">
        <v>4</v>
      </c>
      <c r="B25">
        <v>-156.79</v>
      </c>
      <c r="C25">
        <v>714.03</v>
      </c>
      <c r="D25">
        <v>-2669.62</v>
      </c>
      <c r="E25">
        <v>1869.1</v>
      </c>
      <c r="F25">
        <v>5932.73</v>
      </c>
      <c r="G25">
        <v>-26686.25</v>
      </c>
      <c r="H25">
        <v>101.71</v>
      </c>
      <c r="I25">
        <v>-11117.83</v>
      </c>
      <c r="J25">
        <v>2424.0500000000002</v>
      </c>
      <c r="K25">
        <v>6327.59</v>
      </c>
    </row>
    <row r="26" spans="1:11" s="3" customFormat="1" x14ac:dyDescent="0.35">
      <c r="A26" s="3" t="s">
        <v>5</v>
      </c>
      <c r="B26">
        <v>11078.16</v>
      </c>
      <c r="C26">
        <v>13388.63</v>
      </c>
      <c r="D26">
        <v>16710.78</v>
      </c>
      <c r="E26">
        <v>17904.990000000002</v>
      </c>
      <c r="F26">
        <v>21553.59</v>
      </c>
      <c r="G26">
        <v>23590.63</v>
      </c>
      <c r="H26">
        <v>21425.43</v>
      </c>
      <c r="I26">
        <v>23546.71</v>
      </c>
      <c r="J26">
        <v>24835.69</v>
      </c>
      <c r="K26">
        <v>24860.36</v>
      </c>
    </row>
    <row r="27" spans="1:11" s="3" customFormat="1" x14ac:dyDescent="0.35">
      <c r="A27" s="3" t="s">
        <v>6</v>
      </c>
      <c r="B27">
        <v>4749.4399999999996</v>
      </c>
      <c r="C27">
        <v>4861.49</v>
      </c>
      <c r="D27">
        <v>4889.08</v>
      </c>
      <c r="E27">
        <v>4238.01</v>
      </c>
      <c r="F27">
        <v>4681.79</v>
      </c>
      <c r="G27">
        <v>5758.6</v>
      </c>
      <c r="H27">
        <v>7243.33</v>
      </c>
      <c r="I27">
        <v>8097.17</v>
      </c>
      <c r="J27">
        <v>9311.86</v>
      </c>
      <c r="K27">
        <v>10225.48</v>
      </c>
    </row>
    <row r="28" spans="1:11" s="3" customFormat="1" x14ac:dyDescent="0.35">
      <c r="A28" s="3" t="s">
        <v>7</v>
      </c>
      <c r="B28">
        <v>18868.97</v>
      </c>
      <c r="C28">
        <v>21702.560000000001</v>
      </c>
      <c r="D28">
        <v>14125.77</v>
      </c>
      <c r="E28">
        <v>9314.7900000000009</v>
      </c>
      <c r="F28">
        <v>11155.03</v>
      </c>
      <c r="G28">
        <v>-31371.15</v>
      </c>
      <c r="H28">
        <v>-10579.98</v>
      </c>
      <c r="I28">
        <v>-10474.280000000001</v>
      </c>
      <c r="J28">
        <v>-7003.41</v>
      </c>
      <c r="K28">
        <v>3057.55</v>
      </c>
    </row>
    <row r="29" spans="1:11" s="3" customFormat="1" x14ac:dyDescent="0.35">
      <c r="A29" s="3" t="s">
        <v>8</v>
      </c>
      <c r="B29">
        <v>4764.79</v>
      </c>
      <c r="C29">
        <v>7642.91</v>
      </c>
      <c r="D29">
        <v>3025.05</v>
      </c>
      <c r="E29">
        <v>3251.23</v>
      </c>
      <c r="F29">
        <v>4341.93</v>
      </c>
      <c r="G29">
        <v>-2437.4499999999998</v>
      </c>
      <c r="H29">
        <v>395.25</v>
      </c>
      <c r="I29">
        <v>2541.86</v>
      </c>
      <c r="J29">
        <v>4231.29</v>
      </c>
      <c r="K29">
        <v>704.06</v>
      </c>
    </row>
    <row r="30" spans="1:11" s="3" customFormat="1" x14ac:dyDescent="0.35">
      <c r="A30" s="3" t="s">
        <v>9</v>
      </c>
      <c r="B30">
        <v>13991.02</v>
      </c>
      <c r="C30">
        <v>13986.29</v>
      </c>
      <c r="D30">
        <v>11579.31</v>
      </c>
      <c r="E30">
        <v>7454.36</v>
      </c>
      <c r="F30">
        <v>8988.91</v>
      </c>
      <c r="G30">
        <v>-28826.23</v>
      </c>
      <c r="H30">
        <v>-12070.85</v>
      </c>
      <c r="I30">
        <v>-13451.39</v>
      </c>
      <c r="J30">
        <v>-11441.47</v>
      </c>
      <c r="K30">
        <v>2414.29</v>
      </c>
    </row>
    <row r="31" spans="1:11" s="3" customFormat="1" x14ac:dyDescent="0.35">
      <c r="A31" s="3" t="s">
        <v>34</v>
      </c>
      <c r="B31">
        <v>643.78</v>
      </c>
      <c r="D31">
        <v>67.92</v>
      </c>
      <c r="K31">
        <v>766.02</v>
      </c>
    </row>
    <row r="32" spans="1:11" s="3" customFormat="1" x14ac:dyDescent="0.35"/>
    <row r="33" spans="1:11" x14ac:dyDescent="0.35">
      <c r="A33" s="3"/>
    </row>
    <row r="34" spans="1:11" x14ac:dyDescent="0.35">
      <c r="A34" s="3"/>
    </row>
    <row r="35" spans="1:11" x14ac:dyDescent="0.35">
      <c r="A35" s="3"/>
    </row>
    <row r="36" spans="1:11" x14ac:dyDescent="0.35">
      <c r="A36" s="3"/>
    </row>
    <row r="37" spans="1:11" x14ac:dyDescent="0.35">
      <c r="A37" s="3"/>
    </row>
    <row r="38" spans="1:11" x14ac:dyDescent="0.35">
      <c r="A38" s="3"/>
    </row>
    <row r="39" spans="1:11" x14ac:dyDescent="0.35">
      <c r="A39" s="3"/>
    </row>
    <row r="40" spans="1:11" x14ac:dyDescent="0.35">
      <c r="A40" s="1" t="s">
        <v>24</v>
      </c>
    </row>
    <row r="41" spans="1:11" s="6" customFormat="1" x14ac:dyDescent="0.35">
      <c r="A41" s="5" t="s">
        <v>23</v>
      </c>
      <c r="B41" s="4">
        <v>44377</v>
      </c>
      <c r="C41" s="4">
        <v>44469</v>
      </c>
      <c r="D41" s="4">
        <v>44561</v>
      </c>
      <c r="E41" s="4">
        <v>44651</v>
      </c>
      <c r="F41" s="4">
        <v>44742</v>
      </c>
      <c r="G41" s="4">
        <v>44834</v>
      </c>
      <c r="H41" s="4">
        <v>44926</v>
      </c>
      <c r="I41" s="4">
        <v>45016</v>
      </c>
      <c r="J41" s="4">
        <v>45107</v>
      </c>
      <c r="K41" s="4">
        <v>45199</v>
      </c>
    </row>
    <row r="42" spans="1:11" s="3" customFormat="1" x14ac:dyDescent="0.35">
      <c r="A42" s="3" t="s">
        <v>1</v>
      </c>
      <c r="B42">
        <v>66406.45</v>
      </c>
      <c r="C42">
        <v>61378.82</v>
      </c>
      <c r="D42">
        <v>72229.289999999994</v>
      </c>
      <c r="E42">
        <v>78439.06</v>
      </c>
      <c r="F42">
        <v>71934.66</v>
      </c>
      <c r="G42">
        <v>79611.37</v>
      </c>
      <c r="H42">
        <v>88488.59</v>
      </c>
      <c r="I42">
        <v>105932.35</v>
      </c>
      <c r="J42">
        <v>102236.08</v>
      </c>
      <c r="K42">
        <v>105128.24</v>
      </c>
    </row>
    <row r="43" spans="1:11" s="3" customFormat="1" x14ac:dyDescent="0.35">
      <c r="A43" s="3" t="s">
        <v>2</v>
      </c>
      <c r="B43">
        <v>61163.78</v>
      </c>
      <c r="C43">
        <v>57262.21</v>
      </c>
      <c r="D43">
        <v>65151.27</v>
      </c>
      <c r="E43">
        <v>70156.27</v>
      </c>
      <c r="F43">
        <v>69521.929999999993</v>
      </c>
      <c r="G43">
        <v>74039.06</v>
      </c>
      <c r="H43">
        <v>77668.350000000006</v>
      </c>
      <c r="I43">
        <v>92817.95</v>
      </c>
      <c r="J43">
        <v>89018.36</v>
      </c>
      <c r="K43">
        <v>91361.3</v>
      </c>
    </row>
    <row r="44" spans="1:11" s="3" customFormat="1" x14ac:dyDescent="0.35">
      <c r="A44" s="3" t="s">
        <v>4</v>
      </c>
      <c r="B44">
        <v>584.12</v>
      </c>
      <c r="C44">
        <v>862.46</v>
      </c>
      <c r="D44">
        <v>788.73</v>
      </c>
      <c r="E44">
        <v>188.74</v>
      </c>
      <c r="F44">
        <v>2380.98</v>
      </c>
      <c r="G44">
        <v>1351.14</v>
      </c>
      <c r="H44">
        <v>1129.98</v>
      </c>
      <c r="I44">
        <v>1361.61</v>
      </c>
      <c r="J44">
        <v>683.56</v>
      </c>
      <c r="K44">
        <v>1507.05</v>
      </c>
    </row>
    <row r="45" spans="1:11" s="3" customFormat="1" x14ac:dyDescent="0.35">
      <c r="A45" s="3" t="s">
        <v>5</v>
      </c>
      <c r="B45">
        <v>6202.13</v>
      </c>
      <c r="C45">
        <v>6123.32</v>
      </c>
      <c r="D45">
        <v>6078.13</v>
      </c>
      <c r="E45">
        <v>6432.11</v>
      </c>
      <c r="F45">
        <v>5841.04</v>
      </c>
      <c r="G45">
        <v>5897.34</v>
      </c>
      <c r="H45">
        <v>6071.78</v>
      </c>
      <c r="I45">
        <v>7050.2</v>
      </c>
      <c r="J45">
        <v>6633.18</v>
      </c>
      <c r="K45">
        <v>6636.42</v>
      </c>
    </row>
    <row r="46" spans="1:11" s="3" customFormat="1" x14ac:dyDescent="0.35">
      <c r="A46" s="3" t="s">
        <v>6</v>
      </c>
      <c r="B46">
        <v>2203.3000000000002</v>
      </c>
      <c r="C46">
        <v>2327.3000000000002</v>
      </c>
      <c r="D46">
        <v>2400.7399999999998</v>
      </c>
      <c r="E46">
        <v>2380.52</v>
      </c>
      <c r="F46">
        <v>2420.7199999999998</v>
      </c>
      <c r="G46">
        <v>2487.2600000000002</v>
      </c>
      <c r="H46">
        <v>2675.83</v>
      </c>
      <c r="I46">
        <v>2641.67</v>
      </c>
      <c r="J46">
        <v>2615.39</v>
      </c>
      <c r="K46">
        <v>2651.69</v>
      </c>
    </row>
    <row r="47" spans="1:11" s="3" customFormat="1" x14ac:dyDescent="0.35">
      <c r="A47" s="3" t="s">
        <v>7</v>
      </c>
      <c r="B47">
        <v>-2578.64</v>
      </c>
      <c r="C47">
        <v>-3471.55</v>
      </c>
      <c r="D47">
        <v>-612.12</v>
      </c>
      <c r="E47">
        <v>-341.1</v>
      </c>
      <c r="F47">
        <v>-3468.05</v>
      </c>
      <c r="G47">
        <v>-1461.15</v>
      </c>
      <c r="H47">
        <v>3202.61</v>
      </c>
      <c r="I47">
        <v>4784.1400000000003</v>
      </c>
      <c r="J47">
        <v>4652.71</v>
      </c>
      <c r="K47">
        <v>5985.88</v>
      </c>
    </row>
    <row r="48" spans="1:11" s="3" customFormat="1" x14ac:dyDescent="0.35">
      <c r="A48" s="3" t="s">
        <v>8</v>
      </c>
      <c r="B48">
        <v>1741.96</v>
      </c>
      <c r="C48">
        <v>1005.06</v>
      </c>
      <c r="D48">
        <v>726.05</v>
      </c>
      <c r="E48">
        <v>758.22</v>
      </c>
      <c r="F48">
        <v>1518.96</v>
      </c>
      <c r="G48">
        <v>-457.08</v>
      </c>
      <c r="H48">
        <v>262.83</v>
      </c>
      <c r="I48">
        <v>-620.65</v>
      </c>
      <c r="J48">
        <v>1563.01</v>
      </c>
      <c r="K48">
        <v>2202.84</v>
      </c>
    </row>
    <row r="49" spans="1:11" s="3" customFormat="1" x14ac:dyDescent="0.35">
      <c r="A49" s="3" t="s">
        <v>9</v>
      </c>
      <c r="B49">
        <v>-4450.92</v>
      </c>
      <c r="C49">
        <v>-4441.57</v>
      </c>
      <c r="D49">
        <v>-1516.14</v>
      </c>
      <c r="E49">
        <v>-1032.8399999999999</v>
      </c>
      <c r="F49">
        <v>-5006.6000000000004</v>
      </c>
      <c r="G49">
        <v>-944.61</v>
      </c>
      <c r="H49">
        <v>2957.71</v>
      </c>
      <c r="I49">
        <v>5407.79</v>
      </c>
      <c r="J49">
        <v>3202.8</v>
      </c>
      <c r="K49">
        <v>3764</v>
      </c>
    </row>
    <row r="50" spans="1:11" x14ac:dyDescent="0.35">
      <c r="A50" s="3" t="s">
        <v>3</v>
      </c>
      <c r="B50">
        <v>5242.67</v>
      </c>
      <c r="C50">
        <v>4116.6099999999997</v>
      </c>
      <c r="D50">
        <v>7078.02</v>
      </c>
      <c r="E50">
        <v>8282.7900000000009</v>
      </c>
      <c r="F50">
        <v>2412.73</v>
      </c>
      <c r="G50">
        <v>5572.31</v>
      </c>
      <c r="H50">
        <v>10820.24</v>
      </c>
      <c r="I50">
        <v>13114.4</v>
      </c>
      <c r="J50">
        <v>13217.72</v>
      </c>
      <c r="K50">
        <v>13766.94</v>
      </c>
    </row>
    <row r="51" spans="1:11" x14ac:dyDescent="0.35">
      <c r="A51" s="3"/>
    </row>
    <row r="52" spans="1:11" x14ac:dyDescent="0.35">
      <c r="A52" s="3"/>
    </row>
    <row r="53" spans="1:11" x14ac:dyDescent="0.35">
      <c r="A53" s="3"/>
    </row>
    <row r="54" spans="1:11" x14ac:dyDescent="0.35">
      <c r="A54" s="3"/>
    </row>
    <row r="55" spans="1:11" x14ac:dyDescent="0.35">
      <c r="A55" s="1" t="s">
        <v>25</v>
      </c>
    </row>
    <row r="56" spans="1:11" s="6" customFormat="1" x14ac:dyDescent="0.35">
      <c r="A56" s="5" t="s">
        <v>23</v>
      </c>
      <c r="B56" s="4">
        <v>41729</v>
      </c>
      <c r="C56" s="4">
        <v>42094</v>
      </c>
      <c r="D56" s="4">
        <v>42460</v>
      </c>
      <c r="E56" s="4">
        <v>42825</v>
      </c>
      <c r="F56" s="4">
        <v>43190</v>
      </c>
      <c r="G56" s="4">
        <v>43555</v>
      </c>
      <c r="H56" s="4">
        <v>43921</v>
      </c>
      <c r="I56" s="4">
        <v>44286</v>
      </c>
      <c r="J56" s="4">
        <v>44651</v>
      </c>
      <c r="K56" s="4">
        <v>45016</v>
      </c>
    </row>
    <row r="57" spans="1:11" x14ac:dyDescent="0.35">
      <c r="A57" s="3" t="s">
        <v>10</v>
      </c>
      <c r="B57">
        <v>643.78</v>
      </c>
      <c r="C57">
        <v>643.78</v>
      </c>
      <c r="D57">
        <v>679.18</v>
      </c>
      <c r="E57">
        <v>679.22</v>
      </c>
      <c r="F57">
        <v>679.22</v>
      </c>
      <c r="G57">
        <v>679.22</v>
      </c>
      <c r="H57">
        <v>719.54</v>
      </c>
      <c r="I57">
        <v>765.81</v>
      </c>
      <c r="J57">
        <v>765.88</v>
      </c>
      <c r="K57">
        <v>766.02</v>
      </c>
    </row>
    <row r="58" spans="1:11" x14ac:dyDescent="0.35">
      <c r="A58" s="3" t="s">
        <v>11</v>
      </c>
      <c r="B58">
        <v>64959.67</v>
      </c>
      <c r="C58">
        <v>55618.14</v>
      </c>
      <c r="D58">
        <v>78273.23</v>
      </c>
      <c r="E58">
        <v>57382.67</v>
      </c>
      <c r="F58">
        <v>94748.69</v>
      </c>
      <c r="G58">
        <v>59500.34</v>
      </c>
      <c r="H58">
        <v>61491.49</v>
      </c>
      <c r="I58">
        <v>54480.91</v>
      </c>
      <c r="J58">
        <v>43795.360000000001</v>
      </c>
      <c r="K58">
        <v>44555.77</v>
      </c>
    </row>
    <row r="59" spans="1:11" x14ac:dyDescent="0.35">
      <c r="A59" s="3" t="s">
        <v>35</v>
      </c>
      <c r="B59">
        <v>60642.28</v>
      </c>
      <c r="C59">
        <v>73610.39</v>
      </c>
      <c r="D59">
        <v>69359.960000000006</v>
      </c>
      <c r="E59">
        <v>78603.98</v>
      </c>
      <c r="F59">
        <v>88950.47</v>
      </c>
      <c r="G59">
        <v>106175.34</v>
      </c>
      <c r="H59">
        <v>124787.64</v>
      </c>
      <c r="I59">
        <v>142130.57</v>
      </c>
      <c r="J59">
        <v>146449.03</v>
      </c>
      <c r="K59">
        <v>134113.44</v>
      </c>
    </row>
    <row r="60" spans="1:11" x14ac:dyDescent="0.35">
      <c r="A60" s="3" t="s">
        <v>36</v>
      </c>
      <c r="B60">
        <v>92180.26</v>
      </c>
      <c r="C60">
        <v>107442.48</v>
      </c>
      <c r="D60">
        <v>114871.75</v>
      </c>
      <c r="E60">
        <v>135914.49</v>
      </c>
      <c r="F60">
        <v>142813.43</v>
      </c>
      <c r="G60">
        <v>139348.59</v>
      </c>
      <c r="H60">
        <v>133180.72</v>
      </c>
      <c r="I60">
        <v>144192.62</v>
      </c>
      <c r="J60">
        <v>138051.22</v>
      </c>
      <c r="K60">
        <v>155239.20000000001</v>
      </c>
    </row>
    <row r="61" spans="1:11" s="1" customFormat="1" x14ac:dyDescent="0.35">
      <c r="A61" s="1" t="s">
        <v>12</v>
      </c>
      <c r="B61">
        <v>218425.99</v>
      </c>
      <c r="C61">
        <v>237314.79</v>
      </c>
      <c r="D61">
        <v>263184.12</v>
      </c>
      <c r="E61">
        <v>272580.36</v>
      </c>
      <c r="F61">
        <v>327191.81</v>
      </c>
      <c r="G61">
        <v>305703.49</v>
      </c>
      <c r="H61">
        <v>320179.39</v>
      </c>
      <c r="I61">
        <v>341569.91</v>
      </c>
      <c r="J61">
        <v>329061.49</v>
      </c>
      <c r="K61">
        <v>334674.43</v>
      </c>
    </row>
    <row r="62" spans="1:11" x14ac:dyDescent="0.35">
      <c r="A62" s="3" t="s">
        <v>13</v>
      </c>
      <c r="B62">
        <v>69091.67</v>
      </c>
      <c r="C62">
        <v>88479.49</v>
      </c>
      <c r="D62">
        <v>107231.76</v>
      </c>
      <c r="E62">
        <v>95944.08</v>
      </c>
      <c r="F62">
        <v>121413.86</v>
      </c>
      <c r="G62">
        <v>111234.47</v>
      </c>
      <c r="H62">
        <v>127107.14</v>
      </c>
      <c r="I62">
        <v>138707.60999999999</v>
      </c>
      <c r="J62">
        <v>138855.45000000001</v>
      </c>
      <c r="K62">
        <v>132079.76</v>
      </c>
    </row>
    <row r="63" spans="1:11" x14ac:dyDescent="0.35">
      <c r="A63" s="3" t="s">
        <v>14</v>
      </c>
      <c r="B63">
        <v>33262.559999999998</v>
      </c>
      <c r="C63">
        <v>28640.09</v>
      </c>
      <c r="D63">
        <v>25918.94</v>
      </c>
      <c r="E63">
        <v>33698.839999999997</v>
      </c>
      <c r="F63">
        <v>40033.5</v>
      </c>
      <c r="G63">
        <v>31883.84</v>
      </c>
      <c r="H63">
        <v>35622.29</v>
      </c>
      <c r="I63">
        <v>20963.93</v>
      </c>
      <c r="J63">
        <v>10251.09</v>
      </c>
      <c r="K63">
        <v>14274.5</v>
      </c>
    </row>
    <row r="64" spans="1:11" x14ac:dyDescent="0.35">
      <c r="A64" s="3" t="s">
        <v>15</v>
      </c>
      <c r="B64">
        <v>10686.67</v>
      </c>
      <c r="C64">
        <v>15336.74</v>
      </c>
      <c r="D64">
        <v>23767.02</v>
      </c>
      <c r="E64">
        <v>20337.919999999998</v>
      </c>
      <c r="F64">
        <v>20812.75</v>
      </c>
      <c r="G64">
        <v>15770.72</v>
      </c>
      <c r="H64">
        <v>16308.48</v>
      </c>
      <c r="I64">
        <v>24620.28</v>
      </c>
      <c r="J64">
        <v>29379.53</v>
      </c>
      <c r="K64">
        <v>26379.16</v>
      </c>
    </row>
    <row r="65" spans="1:11" x14ac:dyDescent="0.35">
      <c r="A65" s="3" t="s">
        <v>37</v>
      </c>
      <c r="B65">
        <v>105385.09</v>
      </c>
      <c r="C65">
        <v>104858.47</v>
      </c>
      <c r="D65">
        <v>106266.4</v>
      </c>
      <c r="E65">
        <v>122599.52</v>
      </c>
      <c r="F65">
        <v>144931.70000000001</v>
      </c>
      <c r="G65">
        <v>146814.46</v>
      </c>
      <c r="H65">
        <v>141141.48000000001</v>
      </c>
      <c r="I65">
        <v>157278.09</v>
      </c>
      <c r="J65">
        <v>150575.42000000001</v>
      </c>
      <c r="K65">
        <v>161941.01</v>
      </c>
    </row>
    <row r="66" spans="1:11" s="1" customFormat="1" x14ac:dyDescent="0.35">
      <c r="A66" s="1" t="s">
        <v>12</v>
      </c>
      <c r="B66">
        <v>218425.99</v>
      </c>
      <c r="C66">
        <v>237314.79</v>
      </c>
      <c r="D66">
        <v>263184.12</v>
      </c>
      <c r="E66">
        <v>272580.36</v>
      </c>
      <c r="F66">
        <v>327191.81</v>
      </c>
      <c r="G66">
        <v>305703.49</v>
      </c>
      <c r="H66">
        <v>320179.39</v>
      </c>
      <c r="I66">
        <v>341569.91</v>
      </c>
      <c r="J66">
        <v>329061.49</v>
      </c>
      <c r="K66">
        <v>334674.43</v>
      </c>
    </row>
    <row r="67" spans="1:11" s="3" customFormat="1" x14ac:dyDescent="0.35">
      <c r="A67" s="3" t="s">
        <v>42</v>
      </c>
      <c r="B67">
        <v>10574.23</v>
      </c>
      <c r="C67">
        <v>12579.2</v>
      </c>
      <c r="D67">
        <v>13570.91</v>
      </c>
      <c r="E67">
        <v>14075.55</v>
      </c>
      <c r="F67">
        <v>19893.3</v>
      </c>
      <c r="G67">
        <v>18996.169999999998</v>
      </c>
      <c r="H67">
        <v>11172.69</v>
      </c>
      <c r="I67">
        <v>12679.08</v>
      </c>
      <c r="J67">
        <v>12442.12</v>
      </c>
      <c r="K67">
        <v>15737.97</v>
      </c>
    </row>
    <row r="68" spans="1:11" x14ac:dyDescent="0.35">
      <c r="A68" s="3" t="s">
        <v>29</v>
      </c>
      <c r="B68">
        <v>27270.89</v>
      </c>
      <c r="C68">
        <v>29272.34</v>
      </c>
      <c r="D68">
        <v>32655.73</v>
      </c>
      <c r="E68">
        <v>35085.31</v>
      </c>
      <c r="F68">
        <v>42137.63</v>
      </c>
      <c r="G68">
        <v>39013.730000000003</v>
      </c>
      <c r="H68">
        <v>37456.879999999997</v>
      </c>
      <c r="I68">
        <v>36088.589999999997</v>
      </c>
      <c r="J68">
        <v>35240.339999999997</v>
      </c>
      <c r="K68">
        <v>40755.39</v>
      </c>
    </row>
    <row r="69" spans="1:11" x14ac:dyDescent="0.35">
      <c r="A69" s="2" t="s">
        <v>51</v>
      </c>
      <c r="B69">
        <v>29711.79</v>
      </c>
      <c r="C69">
        <v>32115.759999999998</v>
      </c>
      <c r="D69">
        <v>30460.400000000001</v>
      </c>
      <c r="E69">
        <v>36077.879999999997</v>
      </c>
      <c r="F69">
        <v>34613.910000000003</v>
      </c>
      <c r="G69">
        <v>32648.82</v>
      </c>
      <c r="H69">
        <v>33726.97</v>
      </c>
      <c r="I69">
        <v>46792.46</v>
      </c>
      <c r="J69">
        <v>40669.19</v>
      </c>
      <c r="K69">
        <v>37015.56</v>
      </c>
    </row>
    <row r="70" spans="1:11" x14ac:dyDescent="0.35">
      <c r="A70" s="2" t="s">
        <v>38</v>
      </c>
      <c r="B70">
        <v>3218930000</v>
      </c>
      <c r="C70">
        <v>3218930067</v>
      </c>
      <c r="D70">
        <v>3395930306</v>
      </c>
      <c r="E70">
        <v>3396100719</v>
      </c>
      <c r="F70">
        <v>3396100719</v>
      </c>
      <c r="G70">
        <v>3396100719</v>
      </c>
      <c r="H70">
        <v>3597726185</v>
      </c>
      <c r="I70">
        <v>3829060661</v>
      </c>
      <c r="J70">
        <v>3829414903</v>
      </c>
      <c r="K70">
        <v>3830097221</v>
      </c>
    </row>
    <row r="71" spans="1:11" x14ac:dyDescent="0.35">
      <c r="A71" s="2" t="s">
        <v>39</v>
      </c>
    </row>
    <row r="72" spans="1:11" x14ac:dyDescent="0.35">
      <c r="A72" s="2" t="s">
        <v>52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5">
      <c r="A74" s="3"/>
    </row>
    <row r="75" spans="1:11" x14ac:dyDescent="0.35">
      <c r="A75" s="3"/>
    </row>
    <row r="76" spans="1:11" x14ac:dyDescent="0.35">
      <c r="A76" s="3"/>
    </row>
    <row r="77" spans="1:11" x14ac:dyDescent="0.35">
      <c r="A77" s="3"/>
    </row>
    <row r="78" spans="1:11" x14ac:dyDescent="0.35">
      <c r="A78" s="3"/>
    </row>
    <row r="79" spans="1:11" x14ac:dyDescent="0.35">
      <c r="A79" s="3"/>
    </row>
    <row r="80" spans="1:11" x14ac:dyDescent="0.35">
      <c r="A80" s="1" t="s">
        <v>26</v>
      </c>
    </row>
    <row r="81" spans="1:11" s="6" customFormat="1" x14ac:dyDescent="0.35">
      <c r="A81" s="5" t="s">
        <v>23</v>
      </c>
      <c r="B81" s="4">
        <v>41729</v>
      </c>
      <c r="C81" s="4">
        <v>42094</v>
      </c>
      <c r="D81" s="4">
        <v>42460</v>
      </c>
      <c r="E81" s="4">
        <v>42825</v>
      </c>
      <c r="F81" s="4">
        <v>43190</v>
      </c>
      <c r="G81" s="4">
        <v>43555</v>
      </c>
      <c r="H81" s="4">
        <v>43921</v>
      </c>
      <c r="I81" s="4">
        <v>44286</v>
      </c>
      <c r="J81" s="4">
        <v>44651</v>
      </c>
      <c r="K81" s="4">
        <v>45016</v>
      </c>
    </row>
    <row r="82" spans="1:11" s="1" customFormat="1" x14ac:dyDescent="0.35">
      <c r="A82" s="3" t="s">
        <v>17</v>
      </c>
      <c r="B82">
        <v>36151.160000000003</v>
      </c>
      <c r="C82">
        <v>35531.26</v>
      </c>
      <c r="D82">
        <v>37899.54</v>
      </c>
      <c r="E82">
        <v>30199.25</v>
      </c>
      <c r="F82">
        <v>23857.42</v>
      </c>
      <c r="G82">
        <v>18890.75</v>
      </c>
      <c r="H82">
        <v>26632.94</v>
      </c>
      <c r="I82">
        <v>29000.51</v>
      </c>
      <c r="J82">
        <v>14282.83</v>
      </c>
      <c r="K82">
        <v>35388.01</v>
      </c>
    </row>
    <row r="83" spans="1:11" s="3" customFormat="1" x14ac:dyDescent="0.35">
      <c r="A83" s="3" t="s">
        <v>18</v>
      </c>
      <c r="B83">
        <v>-27990.91</v>
      </c>
      <c r="C83">
        <v>-36232.35</v>
      </c>
      <c r="D83">
        <v>-36693.9</v>
      </c>
      <c r="E83">
        <v>-39571.4</v>
      </c>
      <c r="F83">
        <v>-25139.14</v>
      </c>
      <c r="G83">
        <v>-20878.07</v>
      </c>
      <c r="H83">
        <v>-33114.550000000003</v>
      </c>
      <c r="I83">
        <v>-25672.5</v>
      </c>
      <c r="J83">
        <v>-4443.66</v>
      </c>
      <c r="K83">
        <v>-15417.17</v>
      </c>
    </row>
    <row r="84" spans="1:11" s="3" customFormat="1" x14ac:dyDescent="0.35">
      <c r="A84" s="3" t="s">
        <v>19</v>
      </c>
      <c r="B84">
        <v>-3883.24</v>
      </c>
      <c r="C84">
        <v>5201.4399999999996</v>
      </c>
      <c r="D84">
        <v>-3795.12</v>
      </c>
      <c r="E84">
        <v>6205.3</v>
      </c>
      <c r="F84">
        <v>2011.71</v>
      </c>
      <c r="G84">
        <v>8830.3700000000008</v>
      </c>
      <c r="H84">
        <v>3389.61</v>
      </c>
      <c r="I84">
        <v>9904.2000000000007</v>
      </c>
      <c r="J84">
        <v>-3380.17</v>
      </c>
      <c r="K84">
        <v>-26242.9</v>
      </c>
    </row>
    <row r="85" spans="1:11" s="1" customFormat="1" x14ac:dyDescent="0.35">
      <c r="A85" s="3" t="s">
        <v>20</v>
      </c>
      <c r="B85">
        <v>4277.01</v>
      </c>
      <c r="C85">
        <v>4500.3500000000004</v>
      </c>
      <c r="D85">
        <v>-2589.48</v>
      </c>
      <c r="E85">
        <v>-3166.85</v>
      </c>
      <c r="F85">
        <v>729.99</v>
      </c>
      <c r="G85">
        <v>6843.05</v>
      </c>
      <c r="H85">
        <v>-3092</v>
      </c>
      <c r="I85">
        <v>13232.21</v>
      </c>
      <c r="J85">
        <v>6459</v>
      </c>
      <c r="K85">
        <v>-6272.06</v>
      </c>
    </row>
    <row r="86" spans="1:11" x14ac:dyDescent="0.35">
      <c r="A86" s="3"/>
    </row>
    <row r="87" spans="1:11" x14ac:dyDescent="0.35">
      <c r="A87" s="3"/>
    </row>
    <row r="88" spans="1:11" x14ac:dyDescent="0.35">
      <c r="A88" s="3"/>
    </row>
    <row r="89" spans="1:11" x14ac:dyDescent="0.35">
      <c r="A89" s="3"/>
    </row>
    <row r="90" spans="1:11" s="1" customFormat="1" x14ac:dyDescent="0.35">
      <c r="A90" s="1" t="s">
        <v>41</v>
      </c>
      <c r="B90">
        <v>394.42</v>
      </c>
      <c r="C90">
        <v>544.37</v>
      </c>
      <c r="D90">
        <v>386.6</v>
      </c>
      <c r="E90">
        <v>465.85</v>
      </c>
      <c r="F90">
        <v>326.85000000000002</v>
      </c>
      <c r="G90">
        <v>174.25</v>
      </c>
      <c r="H90">
        <v>71.05</v>
      </c>
      <c r="I90">
        <v>301.8</v>
      </c>
      <c r="J90">
        <v>433.75</v>
      </c>
      <c r="K90">
        <v>420.8</v>
      </c>
    </row>
    <row r="92" spans="1:11" s="1" customFormat="1" x14ac:dyDescent="0.35">
      <c r="A92" s="1" t="s">
        <v>40</v>
      </c>
    </row>
    <row r="93" spans="1:11" x14ac:dyDescent="0.35">
      <c r="A93" s="2" t="s">
        <v>53</v>
      </c>
      <c r="B93" s="7">
        <v>288.74</v>
      </c>
      <c r="C93" s="7">
        <v>288.74</v>
      </c>
      <c r="D93" s="7">
        <v>288.72000000000003</v>
      </c>
      <c r="E93" s="7">
        <v>288.73</v>
      </c>
      <c r="F93" s="7">
        <v>288.73</v>
      </c>
      <c r="G93" s="7">
        <v>288.73</v>
      </c>
      <c r="H93" s="7">
        <v>308.89999999999998</v>
      </c>
      <c r="I93" s="7">
        <v>332.03</v>
      </c>
      <c r="J93" s="7">
        <v>332.07</v>
      </c>
      <c r="K93" s="7">
        <v>332.13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6F26-CB26-4C82-BC7C-65E780B45A7C}">
  <sheetPr>
    <tabColor rgb="FF0275D8"/>
  </sheetPr>
  <dimension ref="A1"/>
  <sheetViews>
    <sheetView workbookViewId="0">
      <selection activeCell="M30" sqref="M30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CA17-1DB4-41EF-883D-7E6D9ED34B5E}">
  <dimension ref="B1:J56"/>
  <sheetViews>
    <sheetView showGridLines="0" topLeftCell="A7" workbookViewId="0">
      <selection activeCell="D25" sqref="D25"/>
    </sheetView>
  </sheetViews>
  <sheetFormatPr defaultRowHeight="14.5" x14ac:dyDescent="0.35"/>
  <sheetData>
    <row r="1" spans="2:3" x14ac:dyDescent="0.35">
      <c r="B1" t="s">
        <v>162</v>
      </c>
    </row>
    <row r="2" spans="2:3" x14ac:dyDescent="0.35">
      <c r="B2" t="s">
        <v>159</v>
      </c>
    </row>
    <row r="7" spans="2:3" x14ac:dyDescent="0.35">
      <c r="C7" t="s">
        <v>160</v>
      </c>
    </row>
    <row r="8" spans="2:3" x14ac:dyDescent="0.35">
      <c r="C8" t="s">
        <v>161</v>
      </c>
    </row>
    <row r="18" spans="2:6" x14ac:dyDescent="0.35">
      <c r="B18" t="s">
        <v>168</v>
      </c>
    </row>
    <row r="19" spans="2:6" x14ac:dyDescent="0.35">
      <c r="B19" t="s">
        <v>170</v>
      </c>
    </row>
    <row r="20" spans="2:6" x14ac:dyDescent="0.35">
      <c r="B20" t="s">
        <v>169</v>
      </c>
    </row>
    <row r="29" spans="2:6" x14ac:dyDescent="0.35">
      <c r="F29" t="s">
        <v>164</v>
      </c>
    </row>
    <row r="41" spans="2:10" x14ac:dyDescent="0.35">
      <c r="B41" t="s">
        <v>167</v>
      </c>
    </row>
    <row r="43" spans="2:10" x14ac:dyDescent="0.35">
      <c r="J43" t="s">
        <v>163</v>
      </c>
    </row>
    <row r="55" spans="9:9" x14ac:dyDescent="0.35">
      <c r="I55" t="s">
        <v>166</v>
      </c>
    </row>
    <row r="56" spans="9:9" x14ac:dyDescent="0.35">
      <c r="I56" t="s">
        <v>165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8EF1-B4F4-4A16-AFE0-B78E1A8F753E}">
  <dimension ref="B2:O40"/>
  <sheetViews>
    <sheetView showGridLines="0" topLeftCell="A30" workbookViewId="0">
      <selection activeCell="D7" sqref="D7"/>
    </sheetView>
  </sheetViews>
  <sheetFormatPr defaultRowHeight="14.5" x14ac:dyDescent="0.35"/>
  <cols>
    <col min="1" max="1" width="1.90625" customWidth="1"/>
    <col min="2" max="2" width="12" bestFit="1" customWidth="1"/>
    <col min="3" max="3" width="6.54296875" bestFit="1" customWidth="1"/>
    <col min="4" max="4" width="9.453125" bestFit="1" customWidth="1"/>
    <col min="5" max="5" width="11.90625" bestFit="1" customWidth="1"/>
    <col min="6" max="6" width="9.453125" bestFit="1" customWidth="1"/>
    <col min="7" max="7" width="17.453125" bestFit="1" customWidth="1"/>
    <col min="8" max="8" width="12" bestFit="1" customWidth="1"/>
    <col min="9" max="9" width="13.453125" bestFit="1" customWidth="1"/>
    <col min="10" max="11" width="12" bestFit="1" customWidth="1"/>
    <col min="12" max="12" width="12.453125" bestFit="1" customWidth="1"/>
    <col min="13" max="13" width="12" bestFit="1" customWidth="1"/>
    <col min="14" max="15" width="12.08984375" bestFit="1" customWidth="1"/>
    <col min="16" max="20" width="13.81640625" customWidth="1"/>
  </cols>
  <sheetData>
    <row r="2" spans="2:15" x14ac:dyDescent="0.35">
      <c r="B2" s="87" t="s">
        <v>157</v>
      </c>
      <c r="C2" s="87"/>
      <c r="D2" s="87"/>
      <c r="E2" s="87"/>
      <c r="G2" s="88"/>
      <c r="H2" s="88"/>
      <c r="I2" s="88"/>
      <c r="J2" s="88"/>
      <c r="K2" s="60"/>
      <c r="L2" s="60"/>
      <c r="M2" s="60"/>
      <c r="N2" s="60"/>
    </row>
    <row r="3" spans="2:15" x14ac:dyDescent="0.35">
      <c r="B3" s="83" t="s">
        <v>55</v>
      </c>
      <c r="C3" s="83"/>
      <c r="D3" s="83"/>
      <c r="E3" s="83"/>
      <c r="G3" s="67"/>
      <c r="H3" s="57"/>
      <c r="I3" s="57"/>
      <c r="J3" s="57"/>
      <c r="K3" s="62"/>
      <c r="L3" s="62"/>
      <c r="M3" s="62"/>
      <c r="N3" s="62"/>
      <c r="O3" s="61"/>
    </row>
    <row r="4" spans="2:15" x14ac:dyDescent="0.35">
      <c r="B4" s="29" t="s">
        <v>128</v>
      </c>
      <c r="C4" s="30" t="s">
        <v>129</v>
      </c>
      <c r="D4" s="30" t="s">
        <v>1</v>
      </c>
      <c r="E4" s="30" t="s">
        <v>59</v>
      </c>
      <c r="G4" s="68"/>
      <c r="H4" s="69"/>
      <c r="I4" s="70"/>
      <c r="J4" s="28"/>
    </row>
    <row r="5" spans="2:15" x14ac:dyDescent="0.35">
      <c r="B5" s="65">
        <v>1</v>
      </c>
      <c r="C5" s="71">
        <v>2012</v>
      </c>
      <c r="D5" s="63">
        <v>165654</v>
      </c>
      <c r="G5" s="66"/>
      <c r="H5" s="64"/>
      <c r="I5" s="63"/>
      <c r="J5" s="17"/>
    </row>
    <row r="6" spans="2:15" x14ac:dyDescent="0.35">
      <c r="B6" s="66">
        <f>B5+1</f>
        <v>2</v>
      </c>
      <c r="C6" s="71">
        <f>C5+1</f>
        <v>2013</v>
      </c>
      <c r="D6" s="63">
        <v>188793</v>
      </c>
      <c r="E6" s="17">
        <f>(D6/D5)-1</f>
        <v>0.13968271215907846</v>
      </c>
      <c r="G6" s="66"/>
      <c r="H6" s="64"/>
      <c r="I6" s="63"/>
      <c r="J6" s="17"/>
    </row>
    <row r="7" spans="2:15" x14ac:dyDescent="0.35">
      <c r="B7" s="66">
        <f t="shared" ref="B7:C21" si="0">B6+1</f>
        <v>3</v>
      </c>
      <c r="C7" s="71">
        <f t="shared" si="0"/>
        <v>2014</v>
      </c>
      <c r="D7" s="63">
        <v>232834</v>
      </c>
      <c r="E7" s="17">
        <f t="shared" ref="E7:E21" si="1">(D7/D6)-1</f>
        <v>0.23327665750319126</v>
      </c>
      <c r="G7" s="66"/>
      <c r="H7" s="64"/>
      <c r="I7" s="63"/>
      <c r="J7" s="17"/>
    </row>
    <row r="8" spans="2:15" x14ac:dyDescent="0.35">
      <c r="B8" s="66">
        <f t="shared" si="0"/>
        <v>4</v>
      </c>
      <c r="C8" s="71">
        <f t="shared" si="0"/>
        <v>2015</v>
      </c>
      <c r="D8" s="63">
        <v>263159</v>
      </c>
      <c r="E8" s="17">
        <f t="shared" si="1"/>
        <v>0.13024300574658332</v>
      </c>
      <c r="G8" s="66"/>
      <c r="H8" s="64"/>
      <c r="I8" s="63"/>
      <c r="J8" s="17"/>
    </row>
    <row r="9" spans="2:15" x14ac:dyDescent="0.35">
      <c r="B9" s="66">
        <f t="shared" si="0"/>
        <v>5</v>
      </c>
      <c r="C9" s="71">
        <f t="shared" si="0"/>
        <v>2016</v>
      </c>
      <c r="D9" s="63">
        <v>273046</v>
      </c>
      <c r="E9" s="17">
        <f t="shared" si="1"/>
        <v>3.757044220414274E-2</v>
      </c>
      <c r="G9" s="66"/>
      <c r="H9" s="64"/>
      <c r="I9" s="63"/>
      <c r="J9" s="17"/>
    </row>
    <row r="10" spans="2:15" x14ac:dyDescent="0.35">
      <c r="B10" s="66">
        <f t="shared" si="0"/>
        <v>6</v>
      </c>
      <c r="C10" s="71">
        <f t="shared" si="0"/>
        <v>2017</v>
      </c>
      <c r="D10" s="63">
        <v>269693</v>
      </c>
      <c r="E10" s="17">
        <f t="shared" si="1"/>
        <v>-1.2279982127553546E-2</v>
      </c>
      <c r="G10" s="66"/>
      <c r="H10" s="64"/>
      <c r="I10" s="63"/>
      <c r="J10" s="17"/>
    </row>
    <row r="11" spans="2:15" x14ac:dyDescent="0.35">
      <c r="B11" s="66">
        <f t="shared" si="0"/>
        <v>7</v>
      </c>
      <c r="C11" s="71">
        <f t="shared" si="0"/>
        <v>2018</v>
      </c>
      <c r="D11" s="63">
        <v>291550</v>
      </c>
      <c r="E11" s="17">
        <f t="shared" si="1"/>
        <v>8.1044001883623151E-2</v>
      </c>
      <c r="G11" s="66"/>
      <c r="H11" s="64"/>
      <c r="I11" s="63"/>
      <c r="J11" s="17"/>
    </row>
    <row r="12" spans="2:15" x14ac:dyDescent="0.35">
      <c r="B12" s="66">
        <f t="shared" si="0"/>
        <v>8</v>
      </c>
      <c r="C12" s="71">
        <f t="shared" si="0"/>
        <v>2019</v>
      </c>
      <c r="D12" s="63">
        <v>301938</v>
      </c>
      <c r="E12" s="17">
        <f t="shared" si="1"/>
        <v>3.5630252100840254E-2</v>
      </c>
      <c r="G12" s="66"/>
      <c r="H12" s="64"/>
      <c r="I12" s="63"/>
      <c r="J12" s="17"/>
    </row>
    <row r="13" spans="2:15" x14ac:dyDescent="0.35">
      <c r="B13" s="66">
        <f t="shared" si="0"/>
        <v>9</v>
      </c>
      <c r="C13" s="71">
        <f t="shared" si="0"/>
        <v>2020</v>
      </c>
      <c r="D13" s="63">
        <v>261068</v>
      </c>
      <c r="E13" s="17">
        <f t="shared" si="1"/>
        <v>-0.13535891474408657</v>
      </c>
      <c r="G13" s="66"/>
      <c r="H13" s="64"/>
      <c r="I13" s="63"/>
      <c r="J13" s="17"/>
    </row>
    <row r="14" spans="2:15" x14ac:dyDescent="0.35">
      <c r="B14" s="66">
        <f t="shared" si="0"/>
        <v>10</v>
      </c>
      <c r="C14" s="71">
        <f t="shared" si="0"/>
        <v>2021</v>
      </c>
      <c r="D14" s="63">
        <v>249795</v>
      </c>
      <c r="E14" s="17">
        <f t="shared" si="1"/>
        <v>-4.3180320835950803E-2</v>
      </c>
      <c r="G14" s="66"/>
      <c r="H14" s="64"/>
      <c r="I14" s="63"/>
      <c r="J14" s="17"/>
    </row>
    <row r="15" spans="2:15" x14ac:dyDescent="0.35">
      <c r="B15" s="66">
        <f t="shared" si="0"/>
        <v>11</v>
      </c>
      <c r="C15" s="71">
        <f t="shared" si="0"/>
        <v>2022</v>
      </c>
      <c r="D15" s="63">
        <v>278454</v>
      </c>
      <c r="E15" s="17">
        <f t="shared" si="1"/>
        <v>0.11473007866450491</v>
      </c>
      <c r="G15" s="66"/>
      <c r="H15" s="64"/>
      <c r="I15" s="63"/>
      <c r="J15" s="17"/>
    </row>
    <row r="16" spans="2:15" x14ac:dyDescent="0.35">
      <c r="B16" s="66">
        <f t="shared" si="0"/>
        <v>12</v>
      </c>
      <c r="C16" s="71">
        <f t="shared" si="0"/>
        <v>2023</v>
      </c>
      <c r="D16" s="63">
        <v>345967</v>
      </c>
      <c r="E16" s="17">
        <f t="shared" si="1"/>
        <v>0.24245656374122837</v>
      </c>
    </row>
    <row r="17" spans="2:8" x14ac:dyDescent="0.35">
      <c r="B17" s="66">
        <f t="shared" si="0"/>
        <v>13</v>
      </c>
      <c r="C17" s="72">
        <f t="shared" si="0"/>
        <v>2024</v>
      </c>
      <c r="D17" s="76">
        <f>$H$39+B17*$H$40</f>
        <v>328507.96969696973</v>
      </c>
      <c r="E17" s="17">
        <f t="shared" si="1"/>
        <v>-5.0464438235526154E-2</v>
      </c>
    </row>
    <row r="18" spans="2:8" x14ac:dyDescent="0.35">
      <c r="B18" s="66">
        <f t="shared" si="0"/>
        <v>14</v>
      </c>
      <c r="C18" s="72">
        <f t="shared" si="0"/>
        <v>2025</v>
      </c>
      <c r="D18" s="76">
        <f>$H$39+B18*$H$40</f>
        <v>339022.64452214458</v>
      </c>
      <c r="E18" s="17">
        <f t="shared" si="1"/>
        <v>3.2007366015728733E-2</v>
      </c>
    </row>
    <row r="19" spans="2:8" x14ac:dyDescent="0.35">
      <c r="B19" s="66">
        <f t="shared" si="0"/>
        <v>15</v>
      </c>
      <c r="C19" s="72">
        <f t="shared" si="0"/>
        <v>2026</v>
      </c>
      <c r="D19" s="76">
        <f>$H$39+B19*$H$40</f>
        <v>349537.31934731943</v>
      </c>
      <c r="E19" s="17">
        <f t="shared" si="1"/>
        <v>3.1014668179452753E-2</v>
      </c>
    </row>
    <row r="20" spans="2:8" x14ac:dyDescent="0.35">
      <c r="B20" s="66">
        <f t="shared" si="0"/>
        <v>16</v>
      </c>
      <c r="C20" s="72">
        <f t="shared" si="0"/>
        <v>2027</v>
      </c>
      <c r="D20" s="76">
        <f>$H$39+B20*$H$40</f>
        <v>360051.99417249422</v>
      </c>
      <c r="E20" s="17">
        <f t="shared" si="1"/>
        <v>3.0081694409079152E-2</v>
      </c>
    </row>
    <row r="21" spans="2:8" x14ac:dyDescent="0.35">
      <c r="B21" s="66">
        <f t="shared" si="0"/>
        <v>17</v>
      </c>
      <c r="C21" s="72">
        <f t="shared" si="0"/>
        <v>2028</v>
      </c>
      <c r="D21" s="76">
        <f>$H$39+B21*$H$40</f>
        <v>370566.66899766901</v>
      </c>
      <c r="E21" s="17">
        <f t="shared" si="1"/>
        <v>2.9203212300880743E-2</v>
      </c>
    </row>
    <row r="23" spans="2:8" x14ac:dyDescent="0.35">
      <c r="B23" s="87" t="s">
        <v>156</v>
      </c>
      <c r="C23" s="87"/>
      <c r="D23" s="87"/>
      <c r="E23" s="87"/>
      <c r="G23" t="s">
        <v>130</v>
      </c>
    </row>
    <row r="24" spans="2:8" ht="15" thickBot="1" x14ac:dyDescent="0.4">
      <c r="B24" s="29" t="s">
        <v>129</v>
      </c>
      <c r="C24" s="30" t="s">
        <v>129</v>
      </c>
      <c r="D24" s="30" t="s">
        <v>153</v>
      </c>
      <c r="E24" s="30" t="s">
        <v>59</v>
      </c>
    </row>
    <row r="25" spans="2:8" x14ac:dyDescent="0.35">
      <c r="B25" s="29" t="s">
        <v>155</v>
      </c>
      <c r="C25" s="30"/>
      <c r="D25" s="30" t="s">
        <v>154</v>
      </c>
      <c r="E25" s="30"/>
      <c r="G25" s="75" t="s">
        <v>131</v>
      </c>
      <c r="H25" s="75"/>
    </row>
    <row r="26" spans="2:8" x14ac:dyDescent="0.35">
      <c r="B26" s="66">
        <f t="shared" ref="B26:C30" si="2">B17</f>
        <v>13</v>
      </c>
      <c r="C26" s="72">
        <f t="shared" si="2"/>
        <v>2024</v>
      </c>
      <c r="D26" s="76">
        <f>FORECAST(B17,$D$5:$D$16,$B$5:$B$16)</f>
        <v>328507.96969696973</v>
      </c>
      <c r="E26" s="17">
        <f>(D26/D16)-1</f>
        <v>-5.0464438235526154E-2</v>
      </c>
      <c r="G26" t="s">
        <v>132</v>
      </c>
      <c r="H26">
        <v>0.78626060285757837</v>
      </c>
    </row>
    <row r="27" spans="2:8" x14ac:dyDescent="0.35">
      <c r="B27" s="66">
        <f t="shared" si="2"/>
        <v>14</v>
      </c>
      <c r="C27" s="72">
        <f t="shared" si="2"/>
        <v>2025</v>
      </c>
      <c r="D27" s="76">
        <f>FORECAST(B18,$D$5:$D$16,$B$5:$B$16)</f>
        <v>339022.64452214452</v>
      </c>
      <c r="E27" s="17">
        <f>(D27/D26)-1</f>
        <v>3.2007366015728511E-2</v>
      </c>
      <c r="G27" t="s">
        <v>133</v>
      </c>
      <c r="H27">
        <v>0.61820573560596259</v>
      </c>
    </row>
    <row r="28" spans="2:8" x14ac:dyDescent="0.35">
      <c r="B28" s="66">
        <f t="shared" si="2"/>
        <v>15</v>
      </c>
      <c r="C28" s="72">
        <f t="shared" si="2"/>
        <v>2026</v>
      </c>
      <c r="D28" s="76">
        <f>FORECAST(B19,$D$5:$D$16,$B$5:$B$16)</f>
        <v>349537.31934731931</v>
      </c>
      <c r="E28" s="17">
        <f t="shared" ref="E28:E30" si="3">(D28/D27)-1</f>
        <v>3.1014668179452531E-2</v>
      </c>
      <c r="G28" t="s">
        <v>134</v>
      </c>
      <c r="H28">
        <v>0.58002630916655884</v>
      </c>
    </row>
    <row r="29" spans="2:8" x14ac:dyDescent="0.35">
      <c r="B29" s="66">
        <f t="shared" si="2"/>
        <v>16</v>
      </c>
      <c r="C29" s="72">
        <f t="shared" si="2"/>
        <v>2027</v>
      </c>
      <c r="D29" s="76">
        <f>FORECAST(B20,$D$5:$D$16,$B$5:$B$16)</f>
        <v>360051.99417249416</v>
      </c>
      <c r="E29" s="17">
        <f t="shared" si="3"/>
        <v>3.0081694409079374E-2</v>
      </c>
      <c r="G29" t="s">
        <v>135</v>
      </c>
      <c r="H29">
        <v>31247.267832237816</v>
      </c>
    </row>
    <row r="30" spans="2:8" ht="15" thickBot="1" x14ac:dyDescent="0.4">
      <c r="B30" s="66">
        <f t="shared" si="2"/>
        <v>17</v>
      </c>
      <c r="C30" s="72">
        <f t="shared" si="2"/>
        <v>2028</v>
      </c>
      <c r="D30" s="76">
        <f>FORECAST(B21,$D$5:$D$16,$B$5:$B$16)</f>
        <v>370566.66899766901</v>
      </c>
      <c r="E30" s="17">
        <f t="shared" si="3"/>
        <v>2.9203212300880743E-2</v>
      </c>
      <c r="G30" s="73" t="s">
        <v>136</v>
      </c>
      <c r="H30" s="73">
        <v>12</v>
      </c>
    </row>
    <row r="32" spans="2:8" ht="15" thickBot="1" x14ac:dyDescent="0.4">
      <c r="G32" t="s">
        <v>137</v>
      </c>
    </row>
    <row r="33" spans="7:15" x14ac:dyDescent="0.35">
      <c r="G33" s="74"/>
      <c r="H33" s="74" t="s">
        <v>141</v>
      </c>
      <c r="I33" s="74" t="s">
        <v>142</v>
      </c>
      <c r="J33" s="74" t="s">
        <v>143</v>
      </c>
      <c r="K33" s="74" t="s">
        <v>144</v>
      </c>
      <c r="L33" s="74" t="s">
        <v>145</v>
      </c>
    </row>
    <row r="34" spans="7:15" x14ac:dyDescent="0.35">
      <c r="G34" t="s">
        <v>138</v>
      </c>
      <c r="H34">
        <v>1</v>
      </c>
      <c r="I34">
        <v>15809849295.120626</v>
      </c>
      <c r="J34">
        <v>15809849295.120626</v>
      </c>
      <c r="K34">
        <v>16.192116887537434</v>
      </c>
      <c r="L34">
        <v>2.4230178861966243E-3</v>
      </c>
    </row>
    <row r="35" spans="7:15" x14ac:dyDescent="0.35">
      <c r="G35" t="s">
        <v>139</v>
      </c>
      <c r="H35">
        <v>10</v>
      </c>
      <c r="I35">
        <v>9763917469.7960415</v>
      </c>
      <c r="J35">
        <v>976391746.97960413</v>
      </c>
    </row>
    <row r="36" spans="7:15" ht="15" thickBot="1" x14ac:dyDescent="0.4">
      <c r="G36" s="73" t="s">
        <v>12</v>
      </c>
      <c r="H36" s="73">
        <v>11</v>
      </c>
      <c r="I36" s="73">
        <v>25573766764.916668</v>
      </c>
      <c r="J36" s="73"/>
      <c r="K36" s="73"/>
      <c r="L36" s="73"/>
    </row>
    <row r="37" spans="7:15" ht="15" thickBot="1" x14ac:dyDescent="0.4"/>
    <row r="38" spans="7:15" x14ac:dyDescent="0.35">
      <c r="G38" s="74"/>
      <c r="H38" s="74" t="s">
        <v>146</v>
      </c>
      <c r="I38" s="74" t="s">
        <v>135</v>
      </c>
      <c r="J38" s="74" t="s">
        <v>147</v>
      </c>
      <c r="K38" s="74" t="s">
        <v>148</v>
      </c>
      <c r="L38" s="74" t="s">
        <v>149</v>
      </c>
      <c r="M38" s="74" t="s">
        <v>150</v>
      </c>
      <c r="N38" s="74" t="s">
        <v>151</v>
      </c>
      <c r="O38" s="74" t="s">
        <v>152</v>
      </c>
    </row>
    <row r="39" spans="7:15" x14ac:dyDescent="0.35">
      <c r="G39" t="s">
        <v>140</v>
      </c>
      <c r="H39">
        <v>191817.19696969696</v>
      </c>
      <c r="I39">
        <v>19231.363932503475</v>
      </c>
      <c r="J39">
        <v>9.9741857958135398</v>
      </c>
      <c r="K39">
        <v>1.6276528332932962E-6</v>
      </c>
      <c r="L39">
        <v>148967.04781499843</v>
      </c>
      <c r="M39">
        <v>234667.3461243955</v>
      </c>
      <c r="N39">
        <v>148967.04781499843</v>
      </c>
      <c r="O39">
        <v>234667.3461243955</v>
      </c>
    </row>
    <row r="40" spans="7:15" ht="15" thickBot="1" x14ac:dyDescent="0.4">
      <c r="G40" s="73" t="s">
        <v>128</v>
      </c>
      <c r="H40" s="73">
        <v>10514.674825174829</v>
      </c>
      <c r="I40" s="73">
        <v>2613.0278059260463</v>
      </c>
      <c r="J40" s="73">
        <v>4.023942952818472</v>
      </c>
      <c r="K40" s="73">
        <v>2.4230178861966182E-3</v>
      </c>
      <c r="L40" s="73">
        <v>4692.4860494705545</v>
      </c>
      <c r="M40" s="73">
        <v>16336.863600879104</v>
      </c>
      <c r="N40" s="73">
        <v>4692.4860494705545</v>
      </c>
      <c r="O40" s="73">
        <v>16336.863600879104</v>
      </c>
    </row>
  </sheetData>
  <mergeCells count="4">
    <mergeCell ref="B2:E2"/>
    <mergeCell ref="G2:J2"/>
    <mergeCell ref="B3:E3"/>
    <mergeCell ref="B23:E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Financials&gt;</vt:lpstr>
      <vt:lpstr>Historical FS</vt:lpstr>
      <vt:lpstr>Ratio Analysis</vt:lpstr>
      <vt:lpstr>Forecast</vt:lpstr>
      <vt:lpstr>Data&gt;</vt:lpstr>
      <vt:lpstr>Data Sheet</vt:lpstr>
      <vt:lpstr>NOTES</vt:lpstr>
      <vt:lpstr>RATIO and Forecast</vt:lpstr>
      <vt:lpstr>Comp Forecast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shreyansh arya</cp:lastModifiedBy>
  <cp:lastPrinted>2023-12-03T22:36:36Z</cp:lastPrinted>
  <dcterms:created xsi:type="dcterms:W3CDTF">2012-08-17T09:55:37Z</dcterms:created>
  <dcterms:modified xsi:type="dcterms:W3CDTF">2026-05-14T09:56:31Z</dcterms:modified>
</cp:coreProperties>
</file>