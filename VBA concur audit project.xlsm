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hrey\OneDrive\Desktop\IT learnings + corportate finance\"/>
    </mc:Choice>
  </mc:AlternateContent>
  <xr:revisionPtr revIDLastSave="0" documentId="13_ncr:1_{9BB1F9EA-8CA1-4EDF-B784-27F28926047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structions" sheetId="8" r:id="rId1"/>
    <sheet name="Assigned earlier" sheetId="7" r:id="rId2"/>
    <sheet name="Report" sheetId="5" r:id="rId3"/>
    <sheet name="Data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5" l="1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</calcChain>
</file>

<file path=xl/sharedStrings.xml><?xml version="1.0" encoding="utf-8"?>
<sst xmlns="http://schemas.openxmlformats.org/spreadsheetml/2006/main" count="705" uniqueCount="137">
  <si>
    <t>Report ID</t>
  </si>
  <si>
    <t>Report Name</t>
  </si>
  <si>
    <t>Submit Date</t>
  </si>
  <si>
    <t>Employee Name</t>
  </si>
  <si>
    <t>Report ID2</t>
  </si>
  <si>
    <t>Report Key</t>
  </si>
  <si>
    <t>Employee ID</t>
  </si>
  <si>
    <t>Processor Start Date</t>
  </si>
  <si>
    <t>Ever Sent Back</t>
  </si>
  <si>
    <t>Currency</t>
  </si>
  <si>
    <t>Report Total</t>
  </si>
  <si>
    <t>Auditor</t>
  </si>
  <si>
    <t>Assignment Type</t>
  </si>
  <si>
    <t>Working Days</t>
  </si>
  <si>
    <t>Working Days &amp; Holidays</t>
  </si>
  <si>
    <t>SLA Status</t>
  </si>
  <si>
    <t>1. Out of SLA</t>
  </si>
  <si>
    <t>2. About to Breach</t>
  </si>
  <si>
    <t>3. On Track</t>
  </si>
  <si>
    <t>Yes</t>
  </si>
  <si>
    <t>No</t>
  </si>
  <si>
    <t>USD</t>
  </si>
  <si>
    <t>Not assigned</t>
  </si>
  <si>
    <t>Old Assignment</t>
  </si>
  <si>
    <t>New Assignment</t>
  </si>
  <si>
    <t>James Miller</t>
  </si>
  <si>
    <t>Sarah Johnson</t>
  </si>
  <si>
    <t>Robert Williams</t>
  </si>
  <si>
    <t>Emily Brown</t>
  </si>
  <si>
    <t>Michael Jones</t>
  </si>
  <si>
    <t>Jessica Garcia</t>
  </si>
  <si>
    <t>David Martinez</t>
  </si>
  <si>
    <t>Ashley Davis</t>
  </si>
  <si>
    <t>Christopher Rodriguez</t>
  </si>
  <si>
    <t>Taylor Wilson</t>
  </si>
  <si>
    <t>Matthew Anderson</t>
  </si>
  <si>
    <t>Amanda Taylor</t>
  </si>
  <si>
    <t>Joshua Thomas</t>
  </si>
  <si>
    <t>Melissa Hernandez</t>
  </si>
  <si>
    <t>Daniel Moore</t>
  </si>
  <si>
    <t>Jennifer Martin</t>
  </si>
  <si>
    <t>Andrew Jackson</t>
  </si>
  <si>
    <t>Stephanie Thompson</t>
  </si>
  <si>
    <t>Joseph White</t>
  </si>
  <si>
    <t>Nicole Lopez</t>
  </si>
  <si>
    <t>William Lee</t>
  </si>
  <si>
    <t>Elizabeth Gonzalez</t>
  </si>
  <si>
    <t>Ryan Harris</t>
  </si>
  <si>
    <t>Heather Clark</t>
  </si>
  <si>
    <t>Nicholas Lewis</t>
  </si>
  <si>
    <t>Megan Robinson</t>
  </si>
  <si>
    <t>Brandon Walker</t>
  </si>
  <si>
    <t>Rachel Perez</t>
  </si>
  <si>
    <t>Justin Hall</t>
  </si>
  <si>
    <t>Laura Young</t>
  </si>
  <si>
    <t>Jonathan Allen</t>
  </si>
  <si>
    <t>Kimberly Sanchez</t>
  </si>
  <si>
    <t>March Expense Report 2026</t>
  </si>
  <si>
    <t>524CBB8B15CF4213B744</t>
  </si>
  <si>
    <t>5.5.26 Report</t>
  </si>
  <si>
    <t>CE46EE5683EB44258C73</t>
  </si>
  <si>
    <t>Meeting Card Expenses</t>
  </si>
  <si>
    <t>506AD66A71044882B63F</t>
  </si>
  <si>
    <t>May 2026 FLKS</t>
  </si>
  <si>
    <t>CE0ED3486F894585A5F0</t>
  </si>
  <si>
    <t>Northridge</t>
  </si>
  <si>
    <t>4BB8DEA2BFEC4C058875</t>
  </si>
  <si>
    <t>Addendum To: ISC Utah Class</t>
  </si>
  <si>
    <t>7D89A4F65544404A92C0</t>
  </si>
  <si>
    <t>3102FF079B8B4F2581C7</t>
  </si>
  <si>
    <t>TMV-96308 Juiz TS/Project Review</t>
  </si>
  <si>
    <t>2E44B7B5D135419CA375</t>
  </si>
  <si>
    <t>LLAD PD completion Major</t>
  </si>
  <si>
    <t>2C3296B170F94F52A758</t>
  </si>
  <si>
    <t>EB 5/13</t>
  </si>
  <si>
    <t>07FD9BCBCBE04FC5838F</t>
  </si>
  <si>
    <t>PLefebvre form April 26 to May 9</t>
  </si>
  <si>
    <t>E56216954022438ABB74</t>
  </si>
  <si>
    <t>Expense reimbursement</t>
  </si>
  <si>
    <t>2492DDE8A2D24014998A</t>
  </si>
  <si>
    <t>Expenses_13 May 2026</t>
  </si>
  <si>
    <t>51A0181F1A784A57B878</t>
  </si>
  <si>
    <t>MAY #1</t>
  </si>
  <si>
    <t>EC39F0230E754F59BBB8</t>
  </si>
  <si>
    <t>4B2B3AC4BC8F431EA7CE</t>
  </si>
  <si>
    <t>5/13/26 - 2</t>
  </si>
  <si>
    <t>D4DDF87E0EA5498DB9BD</t>
  </si>
  <si>
    <t>Team Meeting</t>
  </si>
  <si>
    <t>45A206D78B3842878D97</t>
  </si>
  <si>
    <t>FLKS April</t>
  </si>
  <si>
    <t>4FBA593CE8E846B1930D</t>
  </si>
  <si>
    <t>Week Ending 5/8/26</t>
  </si>
  <si>
    <t>48F65FEBF6244428A3B3</t>
  </si>
  <si>
    <t>AccuSTAT EMEA workshop</t>
  </si>
  <si>
    <t>F051451D356843E0BC60</t>
  </si>
  <si>
    <t>Boston Magneto</t>
  </si>
  <si>
    <t>8A54F2D7E0DF4B2BAA68</t>
  </si>
  <si>
    <t>April/May Expenses</t>
  </si>
  <si>
    <t>4E65898F9A71467AAD09</t>
  </si>
  <si>
    <t>China_Taiwan Customer Visits</t>
  </si>
  <si>
    <t>9DFA263175184E518B55</t>
  </si>
  <si>
    <t>5.10.26 Report</t>
  </si>
  <si>
    <t>3A619A7D6233415CA811</t>
  </si>
  <si>
    <t>*Jan 2026</t>
  </si>
  <si>
    <t>*9 May 2026</t>
  </si>
  <si>
    <t>June Marketing Offsite</t>
  </si>
  <si>
    <t>6E32A1F8C9D24B51A940</t>
  </si>
  <si>
    <t>Q2 Sales Travel - Mumbai</t>
  </si>
  <si>
    <t>2F88D0A13B7E4C19AD55</t>
  </si>
  <si>
    <t>Client Dinner_Standard Chartered</t>
  </si>
  <si>
    <t>9C21B8E56F1A42D7B322</t>
  </si>
  <si>
    <t>Hardware Procurement_May 26</t>
  </si>
  <si>
    <t>1A55C0D3E4F249B89C11</t>
  </si>
  <si>
    <t>5.14.26 Expense Report</t>
  </si>
  <si>
    <t>8B77D2C4A1E045F9A678</t>
  </si>
  <si>
    <t>Recruitment Drive_Bangalore</t>
  </si>
  <si>
    <t>3D44F9B2C5A14D16B290</t>
  </si>
  <si>
    <t>Monthly Internet Reimbursement</t>
  </si>
  <si>
    <t>7E11A0D4B6C34F18A344</t>
  </si>
  <si>
    <t>Project Alpha - Site Visit</t>
  </si>
  <si>
    <t>5F99B2E1D0C44A27B115</t>
  </si>
  <si>
    <t>Andy</t>
  </si>
  <si>
    <t>Mathhew</t>
  </si>
  <si>
    <t>Rohan</t>
  </si>
  <si>
    <t>Shreyansh</t>
  </si>
  <si>
    <t>2. Use the below button to assign priority levels for each expense report</t>
  </si>
  <si>
    <t>3. Assign old expense reports to the auditors it was assigned to by clicking the below button</t>
  </si>
  <si>
    <t>5. Create Dashboard</t>
  </si>
  <si>
    <t>6. Add all the on track reports generated today to assigned earlier sheet manually</t>
  </si>
  <si>
    <t>1. Download datasheet from concur and rename it to Concur generated sheet</t>
  </si>
  <si>
    <t>Auditor Name</t>
  </si>
  <si>
    <t>Status</t>
  </si>
  <si>
    <t>Active</t>
  </si>
  <si>
    <t>Leave</t>
  </si>
  <si>
    <t>5. Assign new auditors by clicking this button</t>
  </si>
  <si>
    <t>4. Set leave status of employees. If Present then write "Active" for the auditor, otherwise write "Leave"</t>
  </si>
  <si>
    <t>The output is something like this: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</si>
</sst>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1"/>
      <color rgb="FF00B0F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22" fontId="0" fillId="0" borderId="0" xfId="0" applyNumberFormat="1"/>
    <xf numFmtId="2" fontId="0" fillId="0" borderId="0" xfId="0" applyNumberFormat="1"/>
    <xf numFmtId="0" fontId="1" fillId="2" borderId="0" xfId="0" applyFont="1" applyFill="1" applyAlignment="1">
      <alignment wrapText="1"/>
    </xf>
    <xf numFmtId="0" fontId="0" fillId="3" borderId="0" xfId="0" applyFill="1"/>
    <xf numFmtId="2" fontId="0" fillId="3" borderId="0" xfId="0" applyNumberFormat="1" applyFill="1"/>
    <xf numFmtId="22" fontId="0" fillId="3" borderId="0" xfId="0" applyNumberFormat="1" applyFill="1"/>
    <xf numFmtId="0" fontId="4" fillId="0" borderId="1" xfId="0" applyFont="1" applyBorder="1" applyAlignment="1">
      <alignment vertical="center" wrapText="1" readingOrder="1"/>
    </xf>
    <xf numFmtId="0" fontId="3" fillId="0" borderId="1" xfId="0" applyFont="1" applyBorder="1" applyAlignment="1">
      <alignment vertical="center" wrapText="1" readingOrder="1"/>
    </xf>
    <xf numFmtId="0" fontId="5" fillId="0" borderId="1" xfId="0" applyFont="1" applyBorder="1" applyAlignment="1">
      <alignment vertical="center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</xdr:row>
          <xdr:rowOff>0</xdr:rowOff>
        </xdr:from>
        <xdr:to>
          <xdr:col>1</xdr:col>
          <xdr:colOff>1778000</xdr:colOff>
          <xdr:row>4</xdr:row>
          <xdr:rowOff>171450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Assigning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6</xdr:row>
          <xdr:rowOff>6350</xdr:rowOff>
        </xdr:from>
        <xdr:to>
          <xdr:col>1</xdr:col>
          <xdr:colOff>1752600</xdr:colOff>
          <xdr:row>7</xdr:row>
          <xdr:rowOff>165100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existing auditors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577850</xdr:colOff>
          <xdr:row>15</xdr:row>
          <xdr:rowOff>0</xdr:rowOff>
        </xdr:from>
        <xdr:to>
          <xdr:col>1</xdr:col>
          <xdr:colOff>1778000</xdr:colOff>
          <xdr:row>16</xdr:row>
          <xdr:rowOff>158750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Assign new audits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17</xdr:row>
          <xdr:rowOff>177800</xdr:rowOff>
        </xdr:from>
        <xdr:to>
          <xdr:col>1</xdr:col>
          <xdr:colOff>1752600</xdr:colOff>
          <xdr:row>19</xdr:row>
          <xdr:rowOff>165100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Audit dashboard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21</xdr:row>
      <xdr:rowOff>1</xdr:rowOff>
    </xdr:from>
    <xdr:to>
      <xdr:col>1</xdr:col>
      <xdr:colOff>4256260</xdr:colOff>
      <xdr:row>29</xdr:row>
      <xdr:rowOff>107951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AE959B-D2B0-A077-7C6C-629E91AAF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3905251"/>
          <a:ext cx="4256260" cy="1581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AC0EF-B216-4E56-8460-A0AACC33978A}">
  <sheetPr codeName="Sheet5"/>
  <dimension ref="B2:C31"/>
  <sheetViews>
    <sheetView showGridLines="0" tabSelected="1" zoomScale="90" zoomScaleNormal="90" workbookViewId="0">
      <selection activeCell="B31" sqref="B31"/>
    </sheetView>
  </sheetViews>
  <sheetFormatPr defaultRowHeight="14.5" x14ac:dyDescent="0.35"/>
  <cols>
    <col min="2" max="2" width="88.7265625" customWidth="1"/>
  </cols>
  <sheetData>
    <row r="2" spans="2:3" x14ac:dyDescent="0.35">
      <c r="B2" t="s">
        <v>129</v>
      </c>
    </row>
    <row r="3" spans="2:3" x14ac:dyDescent="0.35">
      <c r="B3" t="s">
        <v>125</v>
      </c>
    </row>
    <row r="6" spans="2:3" x14ac:dyDescent="0.35">
      <c r="B6" t="s">
        <v>126</v>
      </c>
    </row>
    <row r="9" spans="2:3" ht="15" thickBot="1" x14ac:dyDescent="0.4">
      <c r="B9" t="s">
        <v>135</v>
      </c>
    </row>
    <row r="10" spans="2:3" ht="15" thickBot="1" x14ac:dyDescent="0.4">
      <c r="B10" s="8" t="s">
        <v>130</v>
      </c>
      <c r="C10" s="8" t="s">
        <v>131</v>
      </c>
    </row>
    <row r="11" spans="2:3" ht="15" thickBot="1" x14ac:dyDescent="0.4">
      <c r="B11" s="9" t="s">
        <v>121</v>
      </c>
      <c r="C11" s="10" t="s">
        <v>133</v>
      </c>
    </row>
    <row r="12" spans="2:3" ht="15" thickBot="1" x14ac:dyDescent="0.4">
      <c r="B12" s="9" t="s">
        <v>122</v>
      </c>
      <c r="C12" s="10" t="s">
        <v>132</v>
      </c>
    </row>
    <row r="13" spans="2:3" ht="15" thickBot="1" x14ac:dyDescent="0.4">
      <c r="B13" s="9" t="s">
        <v>123</v>
      </c>
      <c r="C13" s="10" t="s">
        <v>132</v>
      </c>
    </row>
    <row r="14" spans="2:3" ht="15" thickBot="1" x14ac:dyDescent="0.4">
      <c r="B14" s="9" t="s">
        <v>124</v>
      </c>
      <c r="C14" s="10" t="s">
        <v>132</v>
      </c>
    </row>
    <row r="15" spans="2:3" x14ac:dyDescent="0.35">
      <c r="B15" t="s">
        <v>134</v>
      </c>
    </row>
    <row r="18" spans="2:2" x14ac:dyDescent="0.35">
      <c r="B18" t="s">
        <v>127</v>
      </c>
    </row>
    <row r="21" spans="2:2" x14ac:dyDescent="0.35">
      <c r="B21" t="s">
        <v>136</v>
      </c>
    </row>
    <row r="31" spans="2:2" x14ac:dyDescent="0.35">
      <c r="B31" t="s">
        <v>128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AssignAuditPriority_Global">
                <anchor moveWithCells="1" sizeWithCells="1">
                  <from>
                    <xdr:col>1</xdr:col>
                    <xdr:colOff>38100</xdr:colOff>
                    <xdr:row>3</xdr:row>
                    <xdr:rowOff>0</xdr:rowOff>
                  </from>
                  <to>
                    <xdr:col>1</xdr:col>
                    <xdr:colOff>1778000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MapExistingAuditors">
                <anchor moveWithCells="1" sizeWithCells="1">
                  <from>
                    <xdr:col>1</xdr:col>
                    <xdr:colOff>31750</xdr:colOff>
                    <xdr:row>6</xdr:row>
                    <xdr:rowOff>6350</xdr:rowOff>
                  </from>
                  <to>
                    <xdr:col>1</xdr:col>
                    <xdr:colOff>1752600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AssignAvailableAuditors">
                <anchor moveWithCells="1" sizeWithCells="1">
                  <from>
                    <xdr:col>0</xdr:col>
                    <xdr:colOff>577850</xdr:colOff>
                    <xdr:row>15</xdr:row>
                    <xdr:rowOff>0</xdr:rowOff>
                  </from>
                  <to>
                    <xdr:col>1</xdr:col>
                    <xdr:colOff>1778000</xdr:colOff>
                    <xdr:row>16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Button 7">
              <controlPr defaultSize="0" print="0" autoFill="0" autoPict="0" macro="[0]!Create_Auditor_Dashboard">
                <anchor moveWithCells="1" sizeWithCells="1">
                  <from>
                    <xdr:col>0</xdr:col>
                    <xdr:colOff>596900</xdr:colOff>
                    <xdr:row>17</xdr:row>
                    <xdr:rowOff>177800</xdr:rowOff>
                  </from>
                  <to>
                    <xdr:col>1</xdr:col>
                    <xdr:colOff>1752600</xdr:colOff>
                    <xdr:row>19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049BF-75D8-41E1-A8F2-5BAD19793704}">
  <sheetPr codeName="Sheet6"/>
  <dimension ref="A1:Q8"/>
  <sheetViews>
    <sheetView workbookViewId="0">
      <pane ySplit="1" topLeftCell="A2" activePane="bottomLeft" state="frozen"/>
      <selection activeCell="C1" sqref="C1"/>
      <selection pane="bottomLeft" activeCell="L2" sqref="L2"/>
    </sheetView>
  </sheetViews>
  <sheetFormatPr defaultRowHeight="14.5" x14ac:dyDescent="0.35"/>
  <cols>
    <col min="1" max="1" width="21.90625" bestFit="1" customWidth="1"/>
    <col min="2" max="2" width="25.6328125" bestFit="1" customWidth="1"/>
    <col min="3" max="3" width="8.36328125" bestFit="1" customWidth="1"/>
    <col min="4" max="4" width="14.08984375" bestFit="1" customWidth="1"/>
    <col min="5" max="5" width="21.90625" bestFit="1" customWidth="1"/>
    <col min="6" max="6" width="7.81640625" bestFit="1" customWidth="1"/>
    <col min="7" max="7" width="8.81640625" bestFit="1" customWidth="1"/>
    <col min="8" max="8" width="15.1796875" bestFit="1" customWidth="1"/>
    <col min="9" max="9" width="4.7265625" bestFit="1" customWidth="1"/>
    <col min="10" max="10" width="8.26953125" bestFit="1" customWidth="1"/>
    <col min="11" max="11" width="6.26953125" bestFit="1" customWidth="1"/>
    <col min="12" max="12" width="9.453125" bestFit="1" customWidth="1"/>
    <col min="13" max="13" width="13.90625" bestFit="1" customWidth="1"/>
    <col min="14" max="14" width="7" bestFit="1" customWidth="1"/>
    <col min="15" max="15" width="7.90625" bestFit="1" customWidth="1"/>
    <col min="16" max="16" width="16.36328125" bestFit="1" customWidth="1"/>
    <col min="17" max="17" width="10.54296875" bestFit="1" customWidth="1"/>
  </cols>
  <sheetData>
    <row r="1" spans="1:17" ht="43.5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  <c r="Q1" s="1"/>
    </row>
    <row r="2" spans="1:17" x14ac:dyDescent="0.35">
      <c r="A2" t="s">
        <v>58</v>
      </c>
      <c r="B2" t="s">
        <v>57</v>
      </c>
      <c r="C2" s="3">
        <v>46153.657002314816</v>
      </c>
      <c r="D2" t="s">
        <v>25</v>
      </c>
      <c r="E2" t="s">
        <v>58</v>
      </c>
      <c r="F2">
        <v>3833082</v>
      </c>
      <c r="G2">
        <v>10009423</v>
      </c>
      <c r="H2" s="2">
        <v>46153.657002314816</v>
      </c>
      <c r="I2" t="s">
        <v>20</v>
      </c>
      <c r="J2" t="s">
        <v>21</v>
      </c>
      <c r="K2">
        <v>3197</v>
      </c>
      <c r="L2" t="s">
        <v>121</v>
      </c>
      <c r="M2" t="s">
        <v>23</v>
      </c>
      <c r="N2">
        <v>4</v>
      </c>
      <c r="O2">
        <v>4</v>
      </c>
      <c r="P2" t="s">
        <v>16</v>
      </c>
    </row>
    <row r="3" spans="1:17" x14ac:dyDescent="0.35">
      <c r="A3" t="s">
        <v>60</v>
      </c>
      <c r="B3" t="s">
        <v>59</v>
      </c>
      <c r="C3" s="3">
        <v>46153.678530092591</v>
      </c>
      <c r="D3" t="s">
        <v>26</v>
      </c>
      <c r="E3" t="s">
        <v>60</v>
      </c>
      <c r="F3">
        <v>3840108</v>
      </c>
      <c r="G3">
        <v>10070687</v>
      </c>
      <c r="H3" s="2">
        <v>46153.678530092591</v>
      </c>
      <c r="I3" t="s">
        <v>20</v>
      </c>
      <c r="J3" t="s">
        <v>21</v>
      </c>
      <c r="K3">
        <v>54</v>
      </c>
      <c r="L3" t="s">
        <v>122</v>
      </c>
      <c r="M3" t="s">
        <v>23</v>
      </c>
      <c r="N3">
        <v>4</v>
      </c>
      <c r="O3">
        <v>4</v>
      </c>
      <c r="P3" t="s">
        <v>16</v>
      </c>
    </row>
    <row r="4" spans="1:17" x14ac:dyDescent="0.35">
      <c r="A4" t="s">
        <v>62</v>
      </c>
      <c r="B4" t="s">
        <v>61</v>
      </c>
      <c r="C4" s="3">
        <v>46154.493807870371</v>
      </c>
      <c r="D4" t="s">
        <v>27</v>
      </c>
      <c r="E4" t="s">
        <v>62</v>
      </c>
      <c r="F4">
        <v>3833114</v>
      </c>
      <c r="G4">
        <v>10059161</v>
      </c>
      <c r="H4" s="2">
        <v>46154.493807870371</v>
      </c>
      <c r="I4" t="s">
        <v>20</v>
      </c>
      <c r="J4" t="s">
        <v>21</v>
      </c>
      <c r="K4">
        <v>4579</v>
      </c>
      <c r="L4" t="s">
        <v>123</v>
      </c>
      <c r="M4" t="s">
        <v>23</v>
      </c>
      <c r="N4">
        <v>3</v>
      </c>
      <c r="O4">
        <v>3</v>
      </c>
      <c r="P4" t="s">
        <v>17</v>
      </c>
    </row>
    <row r="5" spans="1:17" x14ac:dyDescent="0.35">
      <c r="A5" t="s">
        <v>64</v>
      </c>
      <c r="B5" t="s">
        <v>63</v>
      </c>
      <c r="C5" s="3">
        <v>46154.337557870371</v>
      </c>
      <c r="D5" t="s">
        <v>28</v>
      </c>
      <c r="E5" t="s">
        <v>64</v>
      </c>
      <c r="F5">
        <v>3853600</v>
      </c>
      <c r="G5">
        <v>10045038</v>
      </c>
      <c r="H5" s="2">
        <v>46154.337557870371</v>
      </c>
      <c r="I5" t="s">
        <v>20</v>
      </c>
      <c r="J5" t="s">
        <v>21</v>
      </c>
      <c r="K5">
        <v>1265</v>
      </c>
      <c r="L5" t="s">
        <v>124</v>
      </c>
      <c r="M5" t="s">
        <v>23</v>
      </c>
      <c r="N5">
        <v>3</v>
      </c>
      <c r="O5">
        <v>3</v>
      </c>
      <c r="P5" t="s">
        <v>17</v>
      </c>
    </row>
    <row r="6" spans="1:17" x14ac:dyDescent="0.35">
      <c r="A6" t="s">
        <v>66</v>
      </c>
      <c r="B6" t="s">
        <v>65</v>
      </c>
      <c r="C6" s="3">
        <v>46154.634780092594</v>
      </c>
      <c r="D6" t="s">
        <v>29</v>
      </c>
      <c r="E6" t="s">
        <v>66</v>
      </c>
      <c r="F6">
        <v>3831017</v>
      </c>
      <c r="G6">
        <v>10052124</v>
      </c>
      <c r="H6" s="2">
        <v>46154.634780092594</v>
      </c>
      <c r="I6" t="s">
        <v>19</v>
      </c>
      <c r="J6" t="s">
        <v>21</v>
      </c>
      <c r="K6">
        <v>2752</v>
      </c>
      <c r="L6" t="s">
        <v>122</v>
      </c>
      <c r="M6" t="s">
        <v>23</v>
      </c>
      <c r="N6">
        <v>3</v>
      </c>
      <c r="O6">
        <v>3</v>
      </c>
      <c r="P6" t="s">
        <v>17</v>
      </c>
    </row>
    <row r="7" spans="1:17" x14ac:dyDescent="0.35">
      <c r="A7" t="s">
        <v>68</v>
      </c>
      <c r="B7" t="s">
        <v>67</v>
      </c>
      <c r="C7" s="3">
        <v>46154.375057870369</v>
      </c>
      <c r="D7" t="s">
        <v>30</v>
      </c>
      <c r="E7" t="s">
        <v>68</v>
      </c>
      <c r="F7">
        <v>3852680</v>
      </c>
      <c r="G7">
        <v>10036165</v>
      </c>
      <c r="H7" s="2">
        <v>46154.375057870369</v>
      </c>
      <c r="I7" t="s">
        <v>19</v>
      </c>
      <c r="J7" t="s">
        <v>21</v>
      </c>
      <c r="K7">
        <v>2574</v>
      </c>
      <c r="L7" t="s">
        <v>123</v>
      </c>
      <c r="M7" t="s">
        <v>23</v>
      </c>
      <c r="N7">
        <v>3</v>
      </c>
      <c r="O7">
        <v>3</v>
      </c>
      <c r="P7" t="s">
        <v>17</v>
      </c>
    </row>
    <row r="8" spans="1:17" x14ac:dyDescent="0.35">
      <c r="A8" t="s">
        <v>69</v>
      </c>
      <c r="B8" t="s">
        <v>103</v>
      </c>
      <c r="C8" s="3">
        <v>46154.425752314812</v>
      </c>
      <c r="D8" t="s">
        <v>31</v>
      </c>
      <c r="E8" t="s">
        <v>69</v>
      </c>
      <c r="F8">
        <v>3839472</v>
      </c>
      <c r="G8">
        <v>10013416</v>
      </c>
      <c r="H8" s="2">
        <v>46154.425752314812</v>
      </c>
      <c r="I8" t="s">
        <v>19</v>
      </c>
      <c r="J8" t="s">
        <v>21</v>
      </c>
      <c r="K8">
        <v>1099</v>
      </c>
      <c r="L8" t="s">
        <v>121</v>
      </c>
      <c r="M8" t="s">
        <v>23</v>
      </c>
      <c r="N8">
        <v>3</v>
      </c>
      <c r="O8">
        <v>3</v>
      </c>
      <c r="P8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1CA6-0F5B-4783-82E7-C95B50491D30}">
  <sheetPr codeName="Sheet3"/>
  <dimension ref="A1:Q33"/>
  <sheetViews>
    <sheetView topLeftCell="C1" zoomScale="90" zoomScaleNormal="90" workbookViewId="0">
      <selection activeCell="L9" sqref="L9"/>
    </sheetView>
  </sheetViews>
  <sheetFormatPr defaultRowHeight="14.5" x14ac:dyDescent="0.35"/>
  <cols>
    <col min="1" max="1" width="22.7265625" bestFit="1" customWidth="1"/>
    <col min="2" max="2" width="29.453125" bestFit="1" customWidth="1"/>
    <col min="3" max="3" width="11" bestFit="1" customWidth="1"/>
    <col min="4" max="4" width="19.54296875" bestFit="1" customWidth="1"/>
    <col min="5" max="5" width="22.7265625" bestFit="1" customWidth="1"/>
    <col min="7" max="7" width="9" customWidth="1"/>
    <col min="8" max="8" width="17.81640625" bestFit="1" customWidth="1"/>
    <col min="12" max="12" width="11.453125" bestFit="1" customWidth="1"/>
    <col min="13" max="13" width="14.7265625" bestFit="1" customWidth="1"/>
    <col min="16" max="16" width="16.36328125" bestFit="1" customWidth="1"/>
  </cols>
  <sheetData>
    <row r="1" spans="1:17" ht="53.5" customHeight="1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</row>
    <row r="2" spans="1:17" x14ac:dyDescent="0.35">
      <c r="A2" s="5" t="s">
        <v>58</v>
      </c>
      <c r="B2" s="5" t="s">
        <v>57</v>
      </c>
      <c r="C2" s="6">
        <v>46153.657002314816</v>
      </c>
      <c r="D2" s="5" t="s">
        <v>25</v>
      </c>
      <c r="E2" s="5" t="s">
        <v>58</v>
      </c>
      <c r="F2" s="5">
        <v>3833082</v>
      </c>
      <c r="G2" s="5">
        <v>10009423</v>
      </c>
      <c r="H2" s="7">
        <v>46153.657002314816</v>
      </c>
      <c r="I2" s="5" t="s">
        <v>20</v>
      </c>
      <c r="J2" s="5" t="s">
        <v>21</v>
      </c>
      <c r="K2" s="5">
        <v>3197</v>
      </c>
      <c r="L2" s="5" t="s">
        <v>121</v>
      </c>
      <c r="M2" s="5" t="s">
        <v>23</v>
      </c>
      <c r="N2" s="5">
        <v>4</v>
      </c>
      <c r="O2" s="5">
        <v>4</v>
      </c>
      <c r="P2" s="5" t="s">
        <v>16</v>
      </c>
      <c r="Q2" t="str">
        <f t="shared" ref="Q2:Q33" si="0">_xlfn.SWITCH($P2, "1. Out of SLA", "2nd priority", "2. About to Breach", "1st priority", "3rd priority")</f>
        <v>2nd priority</v>
      </c>
    </row>
    <row r="3" spans="1:17" x14ac:dyDescent="0.35">
      <c r="A3" t="s">
        <v>60</v>
      </c>
      <c r="B3" t="s">
        <v>59</v>
      </c>
      <c r="C3" s="3">
        <v>46153.678530092591</v>
      </c>
      <c r="D3" t="s">
        <v>26</v>
      </c>
      <c r="E3" t="s">
        <v>60</v>
      </c>
      <c r="F3">
        <v>3840108</v>
      </c>
      <c r="G3">
        <v>10070687</v>
      </c>
      <c r="H3" s="2">
        <v>46153.678530092591</v>
      </c>
      <c r="I3" t="s">
        <v>20</v>
      </c>
      <c r="J3" t="s">
        <v>21</v>
      </c>
      <c r="K3">
        <v>54</v>
      </c>
      <c r="L3" t="s">
        <v>122</v>
      </c>
      <c r="M3" t="s">
        <v>23</v>
      </c>
      <c r="N3">
        <v>4</v>
      </c>
      <c r="O3">
        <v>4</v>
      </c>
      <c r="P3" t="s">
        <v>16</v>
      </c>
      <c r="Q3" t="str">
        <f t="shared" si="0"/>
        <v>2nd priority</v>
      </c>
    </row>
    <row r="4" spans="1:17" x14ac:dyDescent="0.35">
      <c r="A4" s="5" t="s">
        <v>62</v>
      </c>
      <c r="B4" s="5" t="s">
        <v>61</v>
      </c>
      <c r="C4" s="6">
        <v>46154.493807870371</v>
      </c>
      <c r="D4" s="5" t="s">
        <v>27</v>
      </c>
      <c r="E4" s="5" t="s">
        <v>62</v>
      </c>
      <c r="F4" s="5">
        <v>3833114</v>
      </c>
      <c r="G4" s="5">
        <v>10059161</v>
      </c>
      <c r="H4" s="7">
        <v>46154.493807870371</v>
      </c>
      <c r="I4" s="5" t="s">
        <v>20</v>
      </c>
      <c r="J4" s="5" t="s">
        <v>21</v>
      </c>
      <c r="K4" s="5">
        <v>4579</v>
      </c>
      <c r="L4" s="5" t="s">
        <v>123</v>
      </c>
      <c r="M4" s="5" t="s">
        <v>23</v>
      </c>
      <c r="N4" s="5">
        <v>3</v>
      </c>
      <c r="O4" s="5">
        <v>3</v>
      </c>
      <c r="P4" s="5" t="s">
        <v>17</v>
      </c>
      <c r="Q4" t="str">
        <f t="shared" si="0"/>
        <v>1st priority</v>
      </c>
    </row>
    <row r="5" spans="1:17" x14ac:dyDescent="0.35">
      <c r="A5" t="s">
        <v>64</v>
      </c>
      <c r="B5" t="s">
        <v>63</v>
      </c>
      <c r="C5" s="3">
        <v>46154.337557870371</v>
      </c>
      <c r="D5" t="s">
        <v>28</v>
      </c>
      <c r="E5" t="s">
        <v>64</v>
      </c>
      <c r="F5">
        <v>3853600</v>
      </c>
      <c r="G5">
        <v>10045038</v>
      </c>
      <c r="H5" s="2">
        <v>46154.337557870371</v>
      </c>
      <c r="I5" t="s">
        <v>20</v>
      </c>
      <c r="J5" t="s">
        <v>21</v>
      </c>
      <c r="K5">
        <v>1265</v>
      </c>
      <c r="L5" t="s">
        <v>124</v>
      </c>
      <c r="M5" t="s">
        <v>23</v>
      </c>
      <c r="N5">
        <v>3</v>
      </c>
      <c r="O5">
        <v>3</v>
      </c>
      <c r="P5" t="s">
        <v>17</v>
      </c>
      <c r="Q5" t="str">
        <f t="shared" si="0"/>
        <v>1st priority</v>
      </c>
    </row>
    <row r="6" spans="1:17" x14ac:dyDescent="0.35">
      <c r="A6" s="5" t="s">
        <v>66</v>
      </c>
      <c r="B6" s="5" t="s">
        <v>65</v>
      </c>
      <c r="C6" s="6">
        <v>46154.634780092594</v>
      </c>
      <c r="D6" s="5" t="s">
        <v>29</v>
      </c>
      <c r="E6" s="5" t="s">
        <v>66</v>
      </c>
      <c r="F6" s="5">
        <v>3831017</v>
      </c>
      <c r="G6" s="5">
        <v>10052124</v>
      </c>
      <c r="H6" s="7">
        <v>46154.634780092594</v>
      </c>
      <c r="I6" s="5" t="s">
        <v>19</v>
      </c>
      <c r="J6" s="5" t="s">
        <v>21</v>
      </c>
      <c r="K6" s="5">
        <v>2752</v>
      </c>
      <c r="L6" s="5" t="s">
        <v>122</v>
      </c>
      <c r="M6" s="5" t="s">
        <v>23</v>
      </c>
      <c r="N6" s="5">
        <v>3</v>
      </c>
      <c r="O6" s="5">
        <v>3</v>
      </c>
      <c r="P6" s="5" t="s">
        <v>17</v>
      </c>
      <c r="Q6" t="str">
        <f t="shared" si="0"/>
        <v>1st priority</v>
      </c>
    </row>
    <row r="7" spans="1:17" x14ac:dyDescent="0.35">
      <c r="A7" t="s">
        <v>68</v>
      </c>
      <c r="B7" t="s">
        <v>67</v>
      </c>
      <c r="C7" s="3">
        <v>46154.375057870369</v>
      </c>
      <c r="D7" t="s">
        <v>30</v>
      </c>
      <c r="E7" t="s">
        <v>68</v>
      </c>
      <c r="F7">
        <v>3852680</v>
      </c>
      <c r="G7">
        <v>10036165</v>
      </c>
      <c r="H7" s="2">
        <v>46154.375057870369</v>
      </c>
      <c r="I7" t="s">
        <v>19</v>
      </c>
      <c r="J7" t="s">
        <v>21</v>
      </c>
      <c r="K7">
        <v>2574</v>
      </c>
      <c r="L7" t="s">
        <v>123</v>
      </c>
      <c r="M7" t="s">
        <v>23</v>
      </c>
      <c r="N7">
        <v>3</v>
      </c>
      <c r="O7">
        <v>3</v>
      </c>
      <c r="P7" t="s">
        <v>17</v>
      </c>
      <c r="Q7" t="str">
        <f t="shared" si="0"/>
        <v>1st priority</v>
      </c>
    </row>
    <row r="8" spans="1:17" x14ac:dyDescent="0.35">
      <c r="A8" s="5" t="s">
        <v>69</v>
      </c>
      <c r="B8" s="5" t="s">
        <v>103</v>
      </c>
      <c r="C8" s="6">
        <v>46154.425752314812</v>
      </c>
      <c r="D8" s="5" t="s">
        <v>31</v>
      </c>
      <c r="E8" s="5" t="s">
        <v>69</v>
      </c>
      <c r="F8" s="5">
        <v>3839472</v>
      </c>
      <c r="G8" s="5">
        <v>10013416</v>
      </c>
      <c r="H8" s="7">
        <v>46154.425752314812</v>
      </c>
      <c r="I8" s="5" t="s">
        <v>19</v>
      </c>
      <c r="J8" s="5" t="s">
        <v>21</v>
      </c>
      <c r="K8" s="5">
        <v>1099</v>
      </c>
      <c r="L8" s="5" t="s">
        <v>121</v>
      </c>
      <c r="M8" s="5" t="s">
        <v>23</v>
      </c>
      <c r="N8" s="5">
        <v>3</v>
      </c>
      <c r="O8" s="5">
        <v>3</v>
      </c>
      <c r="P8" s="5" t="s">
        <v>17</v>
      </c>
      <c r="Q8" t="str">
        <f t="shared" si="0"/>
        <v>1st priority</v>
      </c>
    </row>
    <row r="9" spans="1:17" x14ac:dyDescent="0.35">
      <c r="A9" t="s">
        <v>71</v>
      </c>
      <c r="B9" t="s">
        <v>70</v>
      </c>
      <c r="C9" s="3">
        <v>46155.422379827913</v>
      </c>
      <c r="D9" t="s">
        <v>32</v>
      </c>
      <c r="E9" t="s">
        <v>71</v>
      </c>
      <c r="F9">
        <v>3847239</v>
      </c>
      <c r="G9">
        <v>10040200</v>
      </c>
      <c r="H9" s="2">
        <v>46155.422379827913</v>
      </c>
      <c r="I9" t="s">
        <v>20</v>
      </c>
      <c r="J9" t="s">
        <v>21</v>
      </c>
      <c r="K9">
        <v>3280</v>
      </c>
      <c r="L9" t="s">
        <v>122</v>
      </c>
      <c r="M9" t="s">
        <v>24</v>
      </c>
      <c r="N9">
        <v>2</v>
      </c>
      <c r="O9">
        <v>2</v>
      </c>
      <c r="P9" t="s">
        <v>18</v>
      </c>
      <c r="Q9" t="str">
        <f t="shared" si="0"/>
        <v>3rd priority</v>
      </c>
    </row>
    <row r="10" spans="1:17" x14ac:dyDescent="0.35">
      <c r="A10" s="5" t="s">
        <v>73</v>
      </c>
      <c r="B10" s="5" t="s">
        <v>72</v>
      </c>
      <c r="C10" s="6">
        <v>46155.246372060312</v>
      </c>
      <c r="D10" s="5" t="s">
        <v>33</v>
      </c>
      <c r="E10" s="5" t="s">
        <v>73</v>
      </c>
      <c r="F10" s="5">
        <v>3835549</v>
      </c>
      <c r="G10" s="5">
        <v>10042820</v>
      </c>
      <c r="H10" s="7">
        <v>46155.246372060312</v>
      </c>
      <c r="I10" s="5" t="s">
        <v>20</v>
      </c>
      <c r="J10" s="5" t="s">
        <v>21</v>
      </c>
      <c r="K10" s="5">
        <v>2442</v>
      </c>
      <c r="L10" s="5" t="s">
        <v>123</v>
      </c>
      <c r="M10" s="5" t="s">
        <v>24</v>
      </c>
      <c r="N10" s="5">
        <v>2</v>
      </c>
      <c r="O10" s="5">
        <v>2</v>
      </c>
      <c r="P10" s="5" t="s">
        <v>18</v>
      </c>
      <c r="Q10" t="str">
        <f t="shared" si="0"/>
        <v>3rd priority</v>
      </c>
    </row>
    <row r="11" spans="1:17" x14ac:dyDescent="0.35">
      <c r="A11" t="s">
        <v>75</v>
      </c>
      <c r="B11" t="s">
        <v>74</v>
      </c>
      <c r="C11" s="3">
        <v>46155.452902728422</v>
      </c>
      <c r="D11" t="s">
        <v>34</v>
      </c>
      <c r="E11" t="s">
        <v>75</v>
      </c>
      <c r="F11">
        <v>3831574</v>
      </c>
      <c r="G11">
        <v>10070639</v>
      </c>
      <c r="H11" s="2">
        <v>46155.452902728422</v>
      </c>
      <c r="I11" t="s">
        <v>20</v>
      </c>
      <c r="J11" t="s">
        <v>21</v>
      </c>
      <c r="K11">
        <v>4980</v>
      </c>
      <c r="L11" t="s">
        <v>124</v>
      </c>
      <c r="M11" t="s">
        <v>24</v>
      </c>
      <c r="N11">
        <v>2</v>
      </c>
      <c r="O11">
        <v>2</v>
      </c>
      <c r="P11" t="s">
        <v>18</v>
      </c>
      <c r="Q11" t="str">
        <f t="shared" si="0"/>
        <v>3rd priority</v>
      </c>
    </row>
    <row r="12" spans="1:17" x14ac:dyDescent="0.35">
      <c r="A12" s="5" t="s">
        <v>77</v>
      </c>
      <c r="B12" s="5" t="s">
        <v>76</v>
      </c>
      <c r="C12" s="6">
        <v>46155.613588424618</v>
      </c>
      <c r="D12" s="5" t="s">
        <v>35</v>
      </c>
      <c r="E12" s="5" t="s">
        <v>77</v>
      </c>
      <c r="F12" s="5">
        <v>3835237</v>
      </c>
      <c r="G12" s="5">
        <v>10016971</v>
      </c>
      <c r="H12" s="7">
        <v>46155.613588424618</v>
      </c>
      <c r="I12" s="5" t="s">
        <v>20</v>
      </c>
      <c r="J12" s="5" t="s">
        <v>21</v>
      </c>
      <c r="K12" s="5">
        <v>4717</v>
      </c>
      <c r="L12" s="5" t="s">
        <v>122</v>
      </c>
      <c r="M12" s="5" t="s">
        <v>24</v>
      </c>
      <c r="N12" s="5">
        <v>2</v>
      </c>
      <c r="O12" s="5">
        <v>2</v>
      </c>
      <c r="P12" s="5" t="s">
        <v>18</v>
      </c>
      <c r="Q12" t="str">
        <f t="shared" si="0"/>
        <v>3rd priority</v>
      </c>
    </row>
    <row r="13" spans="1:17" x14ac:dyDescent="0.35">
      <c r="A13" t="s">
        <v>79</v>
      </c>
      <c r="B13" t="s">
        <v>78</v>
      </c>
      <c r="C13" s="3">
        <v>46155.565137813574</v>
      </c>
      <c r="D13" t="s">
        <v>36</v>
      </c>
      <c r="E13" t="s">
        <v>79</v>
      </c>
      <c r="F13">
        <v>3830290</v>
      </c>
      <c r="G13">
        <v>10046734</v>
      </c>
      <c r="H13" s="2">
        <v>46155.565137813574</v>
      </c>
      <c r="I13" t="s">
        <v>20</v>
      </c>
      <c r="J13" t="s">
        <v>21</v>
      </c>
      <c r="K13">
        <v>1741</v>
      </c>
      <c r="L13" t="s">
        <v>123</v>
      </c>
      <c r="M13" t="s">
        <v>24</v>
      </c>
      <c r="N13">
        <v>2</v>
      </c>
      <c r="O13">
        <v>2</v>
      </c>
      <c r="P13" t="s">
        <v>18</v>
      </c>
      <c r="Q13" t="str">
        <f t="shared" si="0"/>
        <v>3rd priority</v>
      </c>
    </row>
    <row r="14" spans="1:17" x14ac:dyDescent="0.35">
      <c r="A14" s="5" t="s">
        <v>81</v>
      </c>
      <c r="B14" s="5" t="s">
        <v>80</v>
      </c>
      <c r="C14" s="6">
        <v>46155.157848222407</v>
      </c>
      <c r="D14" s="5" t="s">
        <v>37</v>
      </c>
      <c r="E14" s="5" t="s">
        <v>81</v>
      </c>
      <c r="F14" s="5">
        <v>3847784</v>
      </c>
      <c r="G14" s="5">
        <v>10044240</v>
      </c>
      <c r="H14" s="7">
        <v>46155.157848222407</v>
      </c>
      <c r="I14" s="5" t="s">
        <v>20</v>
      </c>
      <c r="J14" s="5" t="s">
        <v>21</v>
      </c>
      <c r="K14" s="5">
        <v>4700</v>
      </c>
      <c r="L14" s="5" t="s">
        <v>124</v>
      </c>
      <c r="M14" s="5" t="s">
        <v>24</v>
      </c>
      <c r="N14" s="5">
        <v>2</v>
      </c>
      <c r="O14" s="5">
        <v>2</v>
      </c>
      <c r="P14" s="5" t="s">
        <v>18</v>
      </c>
      <c r="Q14" t="str">
        <f t="shared" si="0"/>
        <v>3rd priority</v>
      </c>
    </row>
    <row r="15" spans="1:17" x14ac:dyDescent="0.35">
      <c r="A15" t="s">
        <v>83</v>
      </c>
      <c r="B15" t="s">
        <v>82</v>
      </c>
      <c r="C15" s="3">
        <v>46155.126288780222</v>
      </c>
      <c r="D15" t="s">
        <v>38</v>
      </c>
      <c r="E15" t="s">
        <v>83</v>
      </c>
      <c r="F15">
        <v>3832680</v>
      </c>
      <c r="G15">
        <v>10066826</v>
      </c>
      <c r="H15" s="2">
        <v>46155.126288780222</v>
      </c>
      <c r="I15" t="s">
        <v>19</v>
      </c>
      <c r="J15" t="s">
        <v>21</v>
      </c>
      <c r="K15">
        <v>848</v>
      </c>
      <c r="L15" t="s">
        <v>122</v>
      </c>
      <c r="M15" t="s">
        <v>24</v>
      </c>
      <c r="N15">
        <v>2</v>
      </c>
      <c r="O15">
        <v>2</v>
      </c>
      <c r="P15" t="s">
        <v>18</v>
      </c>
      <c r="Q15" t="str">
        <f t="shared" si="0"/>
        <v>3rd priority</v>
      </c>
    </row>
    <row r="16" spans="1:17" x14ac:dyDescent="0.35">
      <c r="A16" s="5" t="s">
        <v>84</v>
      </c>
      <c r="B16" s="5" t="s">
        <v>104</v>
      </c>
      <c r="C16" s="6">
        <v>46155.977106101607</v>
      </c>
      <c r="D16" s="5" t="s">
        <v>39</v>
      </c>
      <c r="E16" s="5" t="s">
        <v>84</v>
      </c>
      <c r="F16" s="5">
        <v>3831594</v>
      </c>
      <c r="G16" s="5">
        <v>10032147</v>
      </c>
      <c r="H16" s="7">
        <v>46155.977106101607</v>
      </c>
      <c r="I16" s="5" t="s">
        <v>19</v>
      </c>
      <c r="J16" s="5" t="s">
        <v>21</v>
      </c>
      <c r="K16" s="5">
        <v>1045</v>
      </c>
      <c r="L16" s="5" t="s">
        <v>123</v>
      </c>
      <c r="M16" s="5" t="s">
        <v>24</v>
      </c>
      <c r="N16" s="5">
        <v>2</v>
      </c>
      <c r="O16" s="5">
        <v>2</v>
      </c>
      <c r="P16" s="5" t="s">
        <v>18</v>
      </c>
      <c r="Q16" t="str">
        <f t="shared" si="0"/>
        <v>3rd priority</v>
      </c>
    </row>
    <row r="17" spans="1:17" x14ac:dyDescent="0.35">
      <c r="A17" t="s">
        <v>86</v>
      </c>
      <c r="B17" t="s">
        <v>85</v>
      </c>
      <c r="C17" s="3">
        <v>46155.929994857972</v>
      </c>
      <c r="D17" t="s">
        <v>40</v>
      </c>
      <c r="E17" t="s">
        <v>86</v>
      </c>
      <c r="F17">
        <v>3848450</v>
      </c>
      <c r="G17">
        <v>10038626</v>
      </c>
      <c r="H17" s="2">
        <v>46155.929994857972</v>
      </c>
      <c r="I17" t="s">
        <v>20</v>
      </c>
      <c r="J17" t="s">
        <v>21</v>
      </c>
      <c r="K17">
        <v>4887</v>
      </c>
      <c r="L17" t="s">
        <v>124</v>
      </c>
      <c r="M17" t="s">
        <v>24</v>
      </c>
      <c r="N17">
        <v>2</v>
      </c>
      <c r="O17">
        <v>2</v>
      </c>
      <c r="P17" t="s">
        <v>18</v>
      </c>
      <c r="Q17" t="str">
        <f t="shared" si="0"/>
        <v>3rd priority</v>
      </c>
    </row>
    <row r="18" spans="1:17" x14ac:dyDescent="0.35">
      <c r="A18" s="5" t="s">
        <v>88</v>
      </c>
      <c r="B18" s="5" t="s">
        <v>87</v>
      </c>
      <c r="C18" s="6">
        <v>46155.193780655936</v>
      </c>
      <c r="D18" s="5" t="s">
        <v>41</v>
      </c>
      <c r="E18" s="5" t="s">
        <v>88</v>
      </c>
      <c r="F18" s="5">
        <v>3849458</v>
      </c>
      <c r="G18" s="5">
        <v>10026194</v>
      </c>
      <c r="H18" s="7">
        <v>46155.193780655936</v>
      </c>
      <c r="I18" s="5" t="s">
        <v>20</v>
      </c>
      <c r="J18" s="5" t="s">
        <v>21</v>
      </c>
      <c r="K18" s="5">
        <v>1779</v>
      </c>
      <c r="L18" s="5" t="s">
        <v>122</v>
      </c>
      <c r="M18" s="5" t="s">
        <v>24</v>
      </c>
      <c r="N18" s="5">
        <v>2</v>
      </c>
      <c r="O18" s="5">
        <v>2</v>
      </c>
      <c r="P18" s="5" t="s">
        <v>18</v>
      </c>
      <c r="Q18" t="str">
        <f t="shared" si="0"/>
        <v>3rd priority</v>
      </c>
    </row>
    <row r="19" spans="1:17" x14ac:dyDescent="0.35">
      <c r="A19" t="s">
        <v>90</v>
      </c>
      <c r="B19" t="s">
        <v>89</v>
      </c>
      <c r="C19" s="3">
        <v>46155.674751159095</v>
      </c>
      <c r="D19" t="s">
        <v>42</v>
      </c>
      <c r="E19" t="s">
        <v>90</v>
      </c>
      <c r="F19">
        <v>3857825</v>
      </c>
      <c r="G19">
        <v>10097870</v>
      </c>
      <c r="H19" s="2">
        <v>46155.674751159095</v>
      </c>
      <c r="I19" t="s">
        <v>20</v>
      </c>
      <c r="J19" t="s">
        <v>21</v>
      </c>
      <c r="K19">
        <v>3475</v>
      </c>
      <c r="L19" t="s">
        <v>123</v>
      </c>
      <c r="M19" t="s">
        <v>24</v>
      </c>
      <c r="N19">
        <v>2</v>
      </c>
      <c r="O19">
        <v>2</v>
      </c>
      <c r="P19" t="s">
        <v>18</v>
      </c>
      <c r="Q19" t="str">
        <f t="shared" si="0"/>
        <v>3rd priority</v>
      </c>
    </row>
    <row r="20" spans="1:17" x14ac:dyDescent="0.35">
      <c r="A20" s="5" t="s">
        <v>92</v>
      </c>
      <c r="B20" s="5" t="s">
        <v>91</v>
      </c>
      <c r="C20" s="6">
        <v>46156.593621000109</v>
      </c>
      <c r="D20" s="5" t="s">
        <v>43</v>
      </c>
      <c r="E20" s="5" t="s">
        <v>92</v>
      </c>
      <c r="F20" s="5">
        <v>3858569</v>
      </c>
      <c r="G20" s="5">
        <v>10034324</v>
      </c>
      <c r="H20" s="7">
        <v>46156.593621000109</v>
      </c>
      <c r="I20" s="5" t="s">
        <v>20</v>
      </c>
      <c r="J20" s="5" t="s">
        <v>21</v>
      </c>
      <c r="K20" s="5">
        <v>1666</v>
      </c>
      <c r="L20" s="5" t="s">
        <v>124</v>
      </c>
      <c r="M20" s="5" t="s">
        <v>24</v>
      </c>
      <c r="N20" s="5">
        <v>2</v>
      </c>
      <c r="O20" s="5">
        <v>2</v>
      </c>
      <c r="P20" s="5" t="s">
        <v>18</v>
      </c>
      <c r="Q20" t="str">
        <f t="shared" si="0"/>
        <v>3rd priority</v>
      </c>
    </row>
    <row r="21" spans="1:17" x14ac:dyDescent="0.35">
      <c r="A21" t="s">
        <v>94</v>
      </c>
      <c r="B21" t="s">
        <v>93</v>
      </c>
      <c r="C21" s="3">
        <v>46156.588251998743</v>
      </c>
      <c r="D21" t="s">
        <v>44</v>
      </c>
      <c r="E21" t="s">
        <v>94</v>
      </c>
      <c r="F21">
        <v>3836030</v>
      </c>
      <c r="G21">
        <v>10045010</v>
      </c>
      <c r="H21" s="2">
        <v>46156.588251998743</v>
      </c>
      <c r="I21" t="s">
        <v>20</v>
      </c>
      <c r="J21" t="s">
        <v>21</v>
      </c>
      <c r="K21">
        <v>4271</v>
      </c>
      <c r="L21" t="s">
        <v>122</v>
      </c>
      <c r="M21" t="s">
        <v>24</v>
      </c>
      <c r="N21">
        <v>2</v>
      </c>
      <c r="O21">
        <v>2</v>
      </c>
      <c r="P21" t="s">
        <v>18</v>
      </c>
      <c r="Q21" t="str">
        <f t="shared" si="0"/>
        <v>3rd priority</v>
      </c>
    </row>
    <row r="22" spans="1:17" x14ac:dyDescent="0.35">
      <c r="A22" s="5" t="s">
        <v>96</v>
      </c>
      <c r="B22" s="5" t="s">
        <v>95</v>
      </c>
      <c r="C22" s="6">
        <v>46156.270002889971</v>
      </c>
      <c r="D22" s="5" t="s">
        <v>45</v>
      </c>
      <c r="E22" s="5" t="s">
        <v>96</v>
      </c>
      <c r="F22" s="5">
        <v>3848135</v>
      </c>
      <c r="G22" s="5">
        <v>10048299</v>
      </c>
      <c r="H22" s="7">
        <v>46156.270002889971</v>
      </c>
      <c r="I22" s="5" t="s">
        <v>20</v>
      </c>
      <c r="J22" s="5" t="s">
        <v>21</v>
      </c>
      <c r="K22" s="5">
        <v>3084</v>
      </c>
      <c r="L22" s="5" t="s">
        <v>123</v>
      </c>
      <c r="M22" s="5" t="s">
        <v>24</v>
      </c>
      <c r="N22" s="5">
        <v>2</v>
      </c>
      <c r="O22" s="5">
        <v>2</v>
      </c>
      <c r="P22" s="5" t="s">
        <v>18</v>
      </c>
      <c r="Q22" t="str">
        <f t="shared" si="0"/>
        <v>3rd priority</v>
      </c>
    </row>
    <row r="23" spans="1:17" x14ac:dyDescent="0.35">
      <c r="A23" t="s">
        <v>98</v>
      </c>
      <c r="B23" t="s">
        <v>97</v>
      </c>
      <c r="C23" s="3">
        <v>46156.641549122352</v>
      </c>
      <c r="D23" t="s">
        <v>46</v>
      </c>
      <c r="E23" t="s">
        <v>98</v>
      </c>
      <c r="F23">
        <v>3857787</v>
      </c>
      <c r="G23">
        <v>10067132</v>
      </c>
      <c r="H23" s="2">
        <v>46156.641549122352</v>
      </c>
      <c r="I23" t="s">
        <v>20</v>
      </c>
      <c r="J23" t="s">
        <v>21</v>
      </c>
      <c r="K23">
        <v>1824</v>
      </c>
      <c r="L23" t="s">
        <v>124</v>
      </c>
      <c r="M23" t="s">
        <v>24</v>
      </c>
      <c r="N23">
        <v>2</v>
      </c>
      <c r="O23">
        <v>2</v>
      </c>
      <c r="P23" t="s">
        <v>18</v>
      </c>
      <c r="Q23" t="str">
        <f t="shared" si="0"/>
        <v>3rd priority</v>
      </c>
    </row>
    <row r="24" spans="1:17" x14ac:dyDescent="0.35">
      <c r="A24" s="5" t="s">
        <v>100</v>
      </c>
      <c r="B24" s="5" t="s">
        <v>99</v>
      </c>
      <c r="C24" s="6">
        <v>46156.60741813881</v>
      </c>
      <c r="D24" s="5" t="s">
        <v>47</v>
      </c>
      <c r="E24" s="5" t="s">
        <v>100</v>
      </c>
      <c r="F24" s="5">
        <v>3846464</v>
      </c>
      <c r="G24" s="5">
        <v>10094263</v>
      </c>
      <c r="H24" s="7">
        <v>46156.60741813881</v>
      </c>
      <c r="I24" s="5" t="s">
        <v>20</v>
      </c>
      <c r="J24" s="5" t="s">
        <v>21</v>
      </c>
      <c r="K24" s="5">
        <v>3600</v>
      </c>
      <c r="L24" s="5" t="s">
        <v>122</v>
      </c>
      <c r="M24" s="5" t="s">
        <v>24</v>
      </c>
      <c r="N24" s="5">
        <v>2</v>
      </c>
      <c r="O24" s="5">
        <v>2</v>
      </c>
      <c r="P24" s="5" t="s">
        <v>18</v>
      </c>
      <c r="Q24" t="str">
        <f t="shared" si="0"/>
        <v>3rd priority</v>
      </c>
    </row>
    <row r="25" spans="1:17" x14ac:dyDescent="0.35">
      <c r="A25" t="s">
        <v>102</v>
      </c>
      <c r="B25" t="s">
        <v>101</v>
      </c>
      <c r="C25" s="3">
        <v>46156.040004517054</v>
      </c>
      <c r="D25" t="s">
        <v>48</v>
      </c>
      <c r="E25" t="s">
        <v>102</v>
      </c>
      <c r="F25">
        <v>3838368</v>
      </c>
      <c r="G25">
        <v>10085416</v>
      </c>
      <c r="H25" s="2">
        <v>46156.040004517054</v>
      </c>
      <c r="I25" t="s">
        <v>20</v>
      </c>
      <c r="J25" t="s">
        <v>21</v>
      </c>
      <c r="K25">
        <v>1584</v>
      </c>
      <c r="L25" t="s">
        <v>123</v>
      </c>
      <c r="M25" t="s">
        <v>24</v>
      </c>
      <c r="N25">
        <v>2</v>
      </c>
      <c r="O25">
        <v>2</v>
      </c>
      <c r="P25" t="s">
        <v>18</v>
      </c>
      <c r="Q25" t="str">
        <f t="shared" si="0"/>
        <v>3rd priority</v>
      </c>
    </row>
    <row r="26" spans="1:17" x14ac:dyDescent="0.35">
      <c r="A26" s="5" t="s">
        <v>106</v>
      </c>
      <c r="B26" s="5" t="s">
        <v>105</v>
      </c>
      <c r="C26" s="6">
        <v>46156.068187147866</v>
      </c>
      <c r="D26" s="5" t="s">
        <v>49</v>
      </c>
      <c r="E26" s="5" t="s">
        <v>106</v>
      </c>
      <c r="F26" s="5">
        <v>3834111</v>
      </c>
      <c r="G26" s="5">
        <v>10068784</v>
      </c>
      <c r="H26" s="7">
        <v>46156.068187147866</v>
      </c>
      <c r="I26" s="5" t="s">
        <v>20</v>
      </c>
      <c r="J26" s="5" t="s">
        <v>21</v>
      </c>
      <c r="K26" s="5">
        <v>444</v>
      </c>
      <c r="L26" s="5" t="s">
        <v>124</v>
      </c>
      <c r="M26" s="5" t="s">
        <v>24</v>
      </c>
      <c r="N26" s="5">
        <v>2</v>
      </c>
      <c r="O26" s="5">
        <v>2</v>
      </c>
      <c r="P26" s="5" t="s">
        <v>18</v>
      </c>
      <c r="Q26" t="str">
        <f t="shared" si="0"/>
        <v>3rd priority</v>
      </c>
    </row>
    <row r="27" spans="1:17" x14ac:dyDescent="0.35">
      <c r="A27" t="s">
        <v>108</v>
      </c>
      <c r="B27" t="s">
        <v>107</v>
      </c>
      <c r="C27" s="3">
        <v>46156.712756022062</v>
      </c>
      <c r="D27" t="s">
        <v>50</v>
      </c>
      <c r="E27" t="s">
        <v>108</v>
      </c>
      <c r="F27">
        <v>3858097</v>
      </c>
      <c r="G27">
        <v>10059629</v>
      </c>
      <c r="H27" s="2">
        <v>46156.712756022062</v>
      </c>
      <c r="I27" t="s">
        <v>20</v>
      </c>
      <c r="J27" t="s">
        <v>21</v>
      </c>
      <c r="K27">
        <v>1781</v>
      </c>
      <c r="L27" t="s">
        <v>122</v>
      </c>
      <c r="M27" t="s">
        <v>24</v>
      </c>
      <c r="N27">
        <v>2</v>
      </c>
      <c r="O27">
        <v>2</v>
      </c>
      <c r="P27" t="s">
        <v>18</v>
      </c>
      <c r="Q27" t="str">
        <f t="shared" si="0"/>
        <v>3rd priority</v>
      </c>
    </row>
    <row r="28" spans="1:17" x14ac:dyDescent="0.35">
      <c r="A28" s="5" t="s">
        <v>110</v>
      </c>
      <c r="B28" s="5" t="s">
        <v>109</v>
      </c>
      <c r="C28" s="6">
        <v>46156.475696942121</v>
      </c>
      <c r="D28" s="5" t="s">
        <v>51</v>
      </c>
      <c r="E28" s="5" t="s">
        <v>110</v>
      </c>
      <c r="F28" s="5">
        <v>3856977</v>
      </c>
      <c r="G28" s="5">
        <v>10042859</v>
      </c>
      <c r="H28" s="7">
        <v>46156.475696942121</v>
      </c>
      <c r="I28" s="5" t="s">
        <v>20</v>
      </c>
      <c r="J28" s="5" t="s">
        <v>21</v>
      </c>
      <c r="K28" s="5">
        <v>1648</v>
      </c>
      <c r="L28" s="5" t="s">
        <v>123</v>
      </c>
      <c r="M28" s="5" t="s">
        <v>24</v>
      </c>
      <c r="N28" s="5">
        <v>2</v>
      </c>
      <c r="O28" s="5">
        <v>2</v>
      </c>
      <c r="P28" s="5" t="s">
        <v>18</v>
      </c>
      <c r="Q28" t="str">
        <f t="shared" si="0"/>
        <v>3rd priority</v>
      </c>
    </row>
    <row r="29" spans="1:17" x14ac:dyDescent="0.35">
      <c r="A29" t="s">
        <v>112</v>
      </c>
      <c r="B29" t="s">
        <v>111</v>
      </c>
      <c r="C29" s="3">
        <v>46156.243263256096</v>
      </c>
      <c r="D29" t="s">
        <v>52</v>
      </c>
      <c r="E29" t="s">
        <v>112</v>
      </c>
      <c r="F29">
        <v>3840195</v>
      </c>
      <c r="G29">
        <v>10061344</v>
      </c>
      <c r="H29" s="2">
        <v>46156.243263256096</v>
      </c>
      <c r="I29" t="s">
        <v>20</v>
      </c>
      <c r="J29" t="s">
        <v>21</v>
      </c>
      <c r="K29">
        <v>4565</v>
      </c>
      <c r="L29" t="s">
        <v>124</v>
      </c>
      <c r="M29" t="s">
        <v>24</v>
      </c>
      <c r="N29">
        <v>2</v>
      </c>
      <c r="O29">
        <v>2</v>
      </c>
      <c r="P29" t="s">
        <v>18</v>
      </c>
      <c r="Q29" t="str">
        <f t="shared" si="0"/>
        <v>3rd priority</v>
      </c>
    </row>
    <row r="30" spans="1:17" x14ac:dyDescent="0.35">
      <c r="A30" s="5" t="s">
        <v>114</v>
      </c>
      <c r="B30" s="5" t="s">
        <v>113</v>
      </c>
      <c r="C30" s="6">
        <v>46156.603455854791</v>
      </c>
      <c r="D30" s="5" t="s">
        <v>53</v>
      </c>
      <c r="E30" s="5" t="s">
        <v>114</v>
      </c>
      <c r="F30" s="5">
        <v>3849323</v>
      </c>
      <c r="G30" s="5">
        <v>10023142</v>
      </c>
      <c r="H30" s="7">
        <v>46156.603455854791</v>
      </c>
      <c r="I30" s="5" t="s">
        <v>20</v>
      </c>
      <c r="J30" s="5" t="s">
        <v>21</v>
      </c>
      <c r="K30" s="5">
        <v>4046</v>
      </c>
      <c r="L30" s="5" t="s">
        <v>122</v>
      </c>
      <c r="M30" s="5" t="s">
        <v>24</v>
      </c>
      <c r="N30" s="5">
        <v>2</v>
      </c>
      <c r="O30" s="5">
        <v>2</v>
      </c>
      <c r="P30" s="5" t="s">
        <v>18</v>
      </c>
      <c r="Q30" t="str">
        <f t="shared" si="0"/>
        <v>3rd priority</v>
      </c>
    </row>
    <row r="31" spans="1:17" x14ac:dyDescent="0.35">
      <c r="A31" t="s">
        <v>116</v>
      </c>
      <c r="B31" t="s">
        <v>115</v>
      </c>
      <c r="C31" s="3">
        <v>46156.599933458652</v>
      </c>
      <c r="D31" t="s">
        <v>54</v>
      </c>
      <c r="E31" t="s">
        <v>116</v>
      </c>
      <c r="F31">
        <v>3851999</v>
      </c>
      <c r="G31">
        <v>10012421</v>
      </c>
      <c r="H31" s="2">
        <v>46156.599933458652</v>
      </c>
      <c r="I31" t="s">
        <v>20</v>
      </c>
      <c r="J31" t="s">
        <v>21</v>
      </c>
      <c r="K31">
        <v>939</v>
      </c>
      <c r="L31" t="s">
        <v>123</v>
      </c>
      <c r="M31" t="s">
        <v>24</v>
      </c>
      <c r="N31">
        <v>2</v>
      </c>
      <c r="O31">
        <v>2</v>
      </c>
      <c r="P31" t="s">
        <v>18</v>
      </c>
      <c r="Q31" t="str">
        <f t="shared" si="0"/>
        <v>3rd priority</v>
      </c>
    </row>
    <row r="32" spans="1:17" x14ac:dyDescent="0.35">
      <c r="A32" s="5" t="s">
        <v>118</v>
      </c>
      <c r="B32" s="5" t="s">
        <v>117</v>
      </c>
      <c r="C32" s="6">
        <v>46156.29098493007</v>
      </c>
      <c r="D32" s="5" t="s">
        <v>55</v>
      </c>
      <c r="E32" s="5" t="s">
        <v>118</v>
      </c>
      <c r="F32" s="5">
        <v>3832336</v>
      </c>
      <c r="G32" s="5">
        <v>10023316</v>
      </c>
      <c r="H32" s="7">
        <v>46156.29098493007</v>
      </c>
      <c r="I32" s="5" t="s">
        <v>20</v>
      </c>
      <c r="J32" s="5" t="s">
        <v>21</v>
      </c>
      <c r="K32" s="5">
        <v>2153</v>
      </c>
      <c r="L32" s="5" t="s">
        <v>124</v>
      </c>
      <c r="M32" s="5" t="s">
        <v>24</v>
      </c>
      <c r="N32" s="5">
        <v>2</v>
      </c>
      <c r="O32" s="5">
        <v>2</v>
      </c>
      <c r="P32" s="5" t="s">
        <v>18</v>
      </c>
      <c r="Q32" t="str">
        <f t="shared" si="0"/>
        <v>3rd priority</v>
      </c>
    </row>
    <row r="33" spans="1:17" x14ac:dyDescent="0.35">
      <c r="A33" t="s">
        <v>120</v>
      </c>
      <c r="B33" t="s">
        <v>119</v>
      </c>
      <c r="C33" s="3">
        <v>46156.957455538955</v>
      </c>
      <c r="D33" t="s">
        <v>56</v>
      </c>
      <c r="E33" t="s">
        <v>120</v>
      </c>
      <c r="F33">
        <v>3850770</v>
      </c>
      <c r="G33">
        <v>10039882</v>
      </c>
      <c r="H33" s="2">
        <v>46156.957455538955</v>
      </c>
      <c r="I33" t="s">
        <v>20</v>
      </c>
      <c r="J33" t="s">
        <v>21</v>
      </c>
      <c r="K33">
        <v>222</v>
      </c>
      <c r="L33" t="s">
        <v>122</v>
      </c>
      <c r="M33" t="s">
        <v>24</v>
      </c>
      <c r="N33">
        <v>2</v>
      </c>
      <c r="O33">
        <v>2</v>
      </c>
      <c r="P33" t="s">
        <v>18</v>
      </c>
      <c r="Q33" t="str">
        <f t="shared" si="0"/>
        <v>3rd priority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FF8BA-D65A-4EB8-B577-0BC778BB44AE}">
  <sheetPr codeName="Sheet7">
    <tabColor rgb="FFFF0000"/>
  </sheetPr>
  <dimension ref="A1:P33"/>
  <sheetViews>
    <sheetView topLeftCell="H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22.7265625" bestFit="1" customWidth="1"/>
    <col min="2" max="2" width="29.453125" bestFit="1" customWidth="1"/>
    <col min="3" max="3" width="11" bestFit="1" customWidth="1"/>
    <col min="4" max="4" width="19.54296875" bestFit="1" customWidth="1"/>
    <col min="5" max="5" width="22.7265625" bestFit="1" customWidth="1"/>
    <col min="7" max="7" width="9" customWidth="1"/>
    <col min="8" max="8" width="17.81640625" bestFit="1" customWidth="1"/>
    <col min="12" max="12" width="11.453125" bestFit="1" customWidth="1"/>
    <col min="13" max="13" width="14.7265625" bestFit="1" customWidth="1"/>
    <col min="16" max="16" width="16.36328125" bestFit="1" customWidth="1"/>
  </cols>
  <sheetData>
    <row r="1" spans="1:16" ht="53.5" customHeight="1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4" t="s">
        <v>14</v>
      </c>
      <c r="P1" s="4" t="s">
        <v>15</v>
      </c>
    </row>
    <row r="2" spans="1:16" x14ac:dyDescent="0.35">
      <c r="A2" s="5" t="s">
        <v>58</v>
      </c>
      <c r="B2" s="5" t="s">
        <v>57</v>
      </c>
      <c r="C2" s="6">
        <v>46153.657002314816</v>
      </c>
      <c r="D2" s="5" t="s">
        <v>25</v>
      </c>
      <c r="E2" s="5" t="s">
        <v>58</v>
      </c>
      <c r="F2" s="5">
        <v>3833082</v>
      </c>
      <c r="G2" s="5">
        <v>10009423</v>
      </c>
      <c r="H2" s="7">
        <v>46153.657002314816</v>
      </c>
      <c r="I2" s="5" t="s">
        <v>20</v>
      </c>
      <c r="J2" s="5" t="s">
        <v>21</v>
      </c>
      <c r="K2" s="5">
        <v>3197</v>
      </c>
      <c r="L2" s="5" t="s">
        <v>22</v>
      </c>
      <c r="M2" s="5" t="s">
        <v>23</v>
      </c>
      <c r="N2" s="5">
        <v>4</v>
      </c>
      <c r="O2" s="5">
        <v>4</v>
      </c>
      <c r="P2" s="5" t="s">
        <v>16</v>
      </c>
    </row>
    <row r="3" spans="1:16" x14ac:dyDescent="0.35">
      <c r="A3" t="s">
        <v>60</v>
      </c>
      <c r="B3" t="s">
        <v>59</v>
      </c>
      <c r="C3" s="3">
        <v>46153.678530092591</v>
      </c>
      <c r="D3" t="s">
        <v>26</v>
      </c>
      <c r="E3" t="s">
        <v>60</v>
      </c>
      <c r="F3">
        <v>3840108</v>
      </c>
      <c r="G3">
        <v>10070687</v>
      </c>
      <c r="H3" s="2">
        <v>46153.678530092591</v>
      </c>
      <c r="I3" t="s">
        <v>20</v>
      </c>
      <c r="J3" t="s">
        <v>21</v>
      </c>
      <c r="K3">
        <v>54</v>
      </c>
      <c r="L3" t="s">
        <v>22</v>
      </c>
      <c r="M3" t="s">
        <v>23</v>
      </c>
      <c r="N3">
        <v>4</v>
      </c>
      <c r="O3">
        <v>4</v>
      </c>
      <c r="P3" t="s">
        <v>16</v>
      </c>
    </row>
    <row r="4" spans="1:16" x14ac:dyDescent="0.35">
      <c r="A4" s="5" t="s">
        <v>62</v>
      </c>
      <c r="B4" s="5" t="s">
        <v>61</v>
      </c>
      <c r="C4" s="6">
        <v>46154.493807870371</v>
      </c>
      <c r="D4" s="5" t="s">
        <v>27</v>
      </c>
      <c r="E4" s="5" t="s">
        <v>62</v>
      </c>
      <c r="F4" s="5">
        <v>3833114</v>
      </c>
      <c r="G4" s="5">
        <v>10059161</v>
      </c>
      <c r="H4" s="7">
        <v>46154.493807870371</v>
      </c>
      <c r="I4" s="5" t="s">
        <v>20</v>
      </c>
      <c r="J4" s="5" t="s">
        <v>21</v>
      </c>
      <c r="K4" s="5">
        <v>4579</v>
      </c>
      <c r="L4" s="5" t="s">
        <v>22</v>
      </c>
      <c r="M4" s="5" t="s">
        <v>23</v>
      </c>
      <c r="N4" s="5">
        <v>3</v>
      </c>
      <c r="O4" s="5">
        <v>3</v>
      </c>
      <c r="P4" s="5" t="s">
        <v>17</v>
      </c>
    </row>
    <row r="5" spans="1:16" x14ac:dyDescent="0.35">
      <c r="A5" t="s">
        <v>64</v>
      </c>
      <c r="B5" t="s">
        <v>63</v>
      </c>
      <c r="C5" s="3">
        <v>46154.337557870371</v>
      </c>
      <c r="D5" t="s">
        <v>28</v>
      </c>
      <c r="E5" t="s">
        <v>64</v>
      </c>
      <c r="F5">
        <v>3853600</v>
      </c>
      <c r="G5">
        <v>10045038</v>
      </c>
      <c r="H5" s="2">
        <v>46154.337557870371</v>
      </c>
      <c r="I5" t="s">
        <v>20</v>
      </c>
      <c r="J5" t="s">
        <v>21</v>
      </c>
      <c r="K5">
        <v>1265</v>
      </c>
      <c r="L5" t="s">
        <v>22</v>
      </c>
      <c r="M5" t="s">
        <v>23</v>
      </c>
      <c r="N5">
        <v>3</v>
      </c>
      <c r="O5">
        <v>3</v>
      </c>
      <c r="P5" t="s">
        <v>17</v>
      </c>
    </row>
    <row r="6" spans="1:16" x14ac:dyDescent="0.35">
      <c r="A6" s="5" t="s">
        <v>66</v>
      </c>
      <c r="B6" s="5" t="s">
        <v>65</v>
      </c>
      <c r="C6" s="6">
        <v>46154.634780092594</v>
      </c>
      <c r="D6" s="5" t="s">
        <v>29</v>
      </c>
      <c r="E6" s="5" t="s">
        <v>66</v>
      </c>
      <c r="F6" s="5">
        <v>3831017</v>
      </c>
      <c r="G6" s="5">
        <v>10052124</v>
      </c>
      <c r="H6" s="7">
        <v>46154.634780092594</v>
      </c>
      <c r="I6" s="5" t="s">
        <v>19</v>
      </c>
      <c r="J6" s="5" t="s">
        <v>21</v>
      </c>
      <c r="K6" s="5">
        <v>2752</v>
      </c>
      <c r="L6" s="5" t="s">
        <v>22</v>
      </c>
      <c r="M6" s="5" t="s">
        <v>23</v>
      </c>
      <c r="N6" s="5">
        <v>3</v>
      </c>
      <c r="O6" s="5">
        <v>3</v>
      </c>
      <c r="P6" s="5" t="s">
        <v>17</v>
      </c>
    </row>
    <row r="7" spans="1:16" x14ac:dyDescent="0.35">
      <c r="A7" t="s">
        <v>68</v>
      </c>
      <c r="B7" t="s">
        <v>67</v>
      </c>
      <c r="C7" s="3">
        <v>46154.375057870369</v>
      </c>
      <c r="D7" t="s">
        <v>30</v>
      </c>
      <c r="E7" t="s">
        <v>68</v>
      </c>
      <c r="F7">
        <v>3852680</v>
      </c>
      <c r="G7">
        <v>10036165</v>
      </c>
      <c r="H7" s="2">
        <v>46154.375057870369</v>
      </c>
      <c r="I7" t="s">
        <v>19</v>
      </c>
      <c r="J7" t="s">
        <v>21</v>
      </c>
      <c r="K7">
        <v>2574</v>
      </c>
      <c r="L7" t="s">
        <v>22</v>
      </c>
      <c r="M7" t="s">
        <v>23</v>
      </c>
      <c r="N7">
        <v>3</v>
      </c>
      <c r="O7">
        <v>3</v>
      </c>
      <c r="P7" t="s">
        <v>17</v>
      </c>
    </row>
    <row r="8" spans="1:16" x14ac:dyDescent="0.35">
      <c r="A8" s="5" t="s">
        <v>69</v>
      </c>
      <c r="B8" s="5" t="s">
        <v>103</v>
      </c>
      <c r="C8" s="6">
        <v>46154.425752314812</v>
      </c>
      <c r="D8" s="5" t="s">
        <v>31</v>
      </c>
      <c r="E8" s="5" t="s">
        <v>69</v>
      </c>
      <c r="F8" s="5">
        <v>3839472</v>
      </c>
      <c r="G8" s="5">
        <v>10013416</v>
      </c>
      <c r="H8" s="7">
        <v>46154.425752314812</v>
      </c>
      <c r="I8" s="5" t="s">
        <v>19</v>
      </c>
      <c r="J8" s="5" t="s">
        <v>21</v>
      </c>
      <c r="K8" s="5">
        <v>1099</v>
      </c>
      <c r="L8" s="5" t="s">
        <v>22</v>
      </c>
      <c r="M8" s="5" t="s">
        <v>23</v>
      </c>
      <c r="N8" s="5">
        <v>3</v>
      </c>
      <c r="O8" s="5">
        <v>3</v>
      </c>
      <c r="P8" s="5" t="s">
        <v>17</v>
      </c>
    </row>
    <row r="9" spans="1:16" x14ac:dyDescent="0.35">
      <c r="A9" t="s">
        <v>71</v>
      </c>
      <c r="B9" t="s">
        <v>70</v>
      </c>
      <c r="C9" s="3">
        <v>46155.422379827913</v>
      </c>
      <c r="D9" t="s">
        <v>32</v>
      </c>
      <c r="E9" t="s">
        <v>71</v>
      </c>
      <c r="F9">
        <v>3847239</v>
      </c>
      <c r="G9">
        <v>10040200</v>
      </c>
      <c r="H9" s="2">
        <v>46155.422379827913</v>
      </c>
      <c r="I9" t="s">
        <v>20</v>
      </c>
      <c r="J9" t="s">
        <v>21</v>
      </c>
      <c r="K9">
        <v>3280</v>
      </c>
      <c r="L9" t="s">
        <v>22</v>
      </c>
      <c r="M9" t="s">
        <v>24</v>
      </c>
      <c r="N9">
        <v>2</v>
      </c>
      <c r="O9">
        <v>2</v>
      </c>
      <c r="P9" t="s">
        <v>18</v>
      </c>
    </row>
    <row r="10" spans="1:16" x14ac:dyDescent="0.35">
      <c r="A10" s="5" t="s">
        <v>73</v>
      </c>
      <c r="B10" s="5" t="s">
        <v>72</v>
      </c>
      <c r="C10" s="6">
        <v>46155.246372060312</v>
      </c>
      <c r="D10" s="5" t="s">
        <v>33</v>
      </c>
      <c r="E10" s="5" t="s">
        <v>73</v>
      </c>
      <c r="F10" s="5">
        <v>3835549</v>
      </c>
      <c r="G10" s="5">
        <v>10042820</v>
      </c>
      <c r="H10" s="7">
        <v>46155.246372060312</v>
      </c>
      <c r="I10" s="5" t="s">
        <v>20</v>
      </c>
      <c r="J10" s="5" t="s">
        <v>21</v>
      </c>
      <c r="K10" s="5">
        <v>2442</v>
      </c>
      <c r="L10" s="5" t="s">
        <v>22</v>
      </c>
      <c r="M10" s="5" t="s">
        <v>24</v>
      </c>
      <c r="N10" s="5">
        <v>2</v>
      </c>
      <c r="O10" s="5">
        <v>2</v>
      </c>
      <c r="P10" s="5" t="s">
        <v>18</v>
      </c>
    </row>
    <row r="11" spans="1:16" x14ac:dyDescent="0.35">
      <c r="A11" t="s">
        <v>75</v>
      </c>
      <c r="B11" t="s">
        <v>74</v>
      </c>
      <c r="C11" s="3">
        <v>46155.452902728422</v>
      </c>
      <c r="D11" t="s">
        <v>34</v>
      </c>
      <c r="E11" t="s">
        <v>75</v>
      </c>
      <c r="F11">
        <v>3831574</v>
      </c>
      <c r="G11">
        <v>10070639</v>
      </c>
      <c r="H11" s="2">
        <v>46155.452902728422</v>
      </c>
      <c r="I11" t="s">
        <v>20</v>
      </c>
      <c r="J11" t="s">
        <v>21</v>
      </c>
      <c r="K11">
        <v>4980</v>
      </c>
      <c r="L11" t="s">
        <v>22</v>
      </c>
      <c r="M11" t="s">
        <v>24</v>
      </c>
      <c r="N11">
        <v>2</v>
      </c>
      <c r="O11">
        <v>2</v>
      </c>
      <c r="P11" t="s">
        <v>18</v>
      </c>
    </row>
    <row r="12" spans="1:16" x14ac:dyDescent="0.35">
      <c r="A12" s="5" t="s">
        <v>77</v>
      </c>
      <c r="B12" s="5" t="s">
        <v>76</v>
      </c>
      <c r="C12" s="6">
        <v>46155.613588424618</v>
      </c>
      <c r="D12" s="5" t="s">
        <v>35</v>
      </c>
      <c r="E12" s="5" t="s">
        <v>77</v>
      </c>
      <c r="F12" s="5">
        <v>3835237</v>
      </c>
      <c r="G12" s="5">
        <v>10016971</v>
      </c>
      <c r="H12" s="7">
        <v>46155.613588424618</v>
      </c>
      <c r="I12" s="5" t="s">
        <v>20</v>
      </c>
      <c r="J12" s="5" t="s">
        <v>21</v>
      </c>
      <c r="K12" s="5">
        <v>4717</v>
      </c>
      <c r="L12" s="5" t="s">
        <v>22</v>
      </c>
      <c r="M12" s="5" t="s">
        <v>24</v>
      </c>
      <c r="N12" s="5">
        <v>2</v>
      </c>
      <c r="O12" s="5">
        <v>2</v>
      </c>
      <c r="P12" s="5" t="s">
        <v>18</v>
      </c>
    </row>
    <row r="13" spans="1:16" x14ac:dyDescent="0.35">
      <c r="A13" t="s">
        <v>79</v>
      </c>
      <c r="B13" t="s">
        <v>78</v>
      </c>
      <c r="C13" s="3">
        <v>46155.565137813574</v>
      </c>
      <c r="D13" t="s">
        <v>36</v>
      </c>
      <c r="E13" t="s">
        <v>79</v>
      </c>
      <c r="F13">
        <v>3830290</v>
      </c>
      <c r="G13">
        <v>10046734</v>
      </c>
      <c r="H13" s="2">
        <v>46155.565137813574</v>
      </c>
      <c r="I13" t="s">
        <v>20</v>
      </c>
      <c r="J13" t="s">
        <v>21</v>
      </c>
      <c r="K13">
        <v>1741</v>
      </c>
      <c r="L13" t="s">
        <v>22</v>
      </c>
      <c r="M13" t="s">
        <v>24</v>
      </c>
      <c r="N13">
        <v>2</v>
      </c>
      <c r="O13">
        <v>2</v>
      </c>
      <c r="P13" t="s">
        <v>18</v>
      </c>
    </row>
    <row r="14" spans="1:16" x14ac:dyDescent="0.35">
      <c r="A14" s="5" t="s">
        <v>81</v>
      </c>
      <c r="B14" s="5" t="s">
        <v>80</v>
      </c>
      <c r="C14" s="6">
        <v>46155.157848222407</v>
      </c>
      <c r="D14" s="5" t="s">
        <v>37</v>
      </c>
      <c r="E14" s="5" t="s">
        <v>81</v>
      </c>
      <c r="F14" s="5">
        <v>3847784</v>
      </c>
      <c r="G14" s="5">
        <v>10044240</v>
      </c>
      <c r="H14" s="7">
        <v>46155.157848222407</v>
      </c>
      <c r="I14" s="5" t="s">
        <v>20</v>
      </c>
      <c r="J14" s="5" t="s">
        <v>21</v>
      </c>
      <c r="K14" s="5">
        <v>4700</v>
      </c>
      <c r="L14" s="5" t="s">
        <v>22</v>
      </c>
      <c r="M14" s="5" t="s">
        <v>24</v>
      </c>
      <c r="N14" s="5">
        <v>2</v>
      </c>
      <c r="O14" s="5">
        <v>2</v>
      </c>
      <c r="P14" s="5" t="s">
        <v>18</v>
      </c>
    </row>
    <row r="15" spans="1:16" x14ac:dyDescent="0.35">
      <c r="A15" t="s">
        <v>83</v>
      </c>
      <c r="B15" t="s">
        <v>82</v>
      </c>
      <c r="C15" s="3">
        <v>46155.126288780222</v>
      </c>
      <c r="D15" t="s">
        <v>38</v>
      </c>
      <c r="E15" t="s">
        <v>83</v>
      </c>
      <c r="F15">
        <v>3832680</v>
      </c>
      <c r="G15">
        <v>10066826</v>
      </c>
      <c r="H15" s="2">
        <v>46155.126288780222</v>
      </c>
      <c r="I15" t="s">
        <v>19</v>
      </c>
      <c r="J15" t="s">
        <v>21</v>
      </c>
      <c r="K15">
        <v>848</v>
      </c>
      <c r="L15" t="s">
        <v>22</v>
      </c>
      <c r="M15" t="s">
        <v>24</v>
      </c>
      <c r="N15">
        <v>2</v>
      </c>
      <c r="O15">
        <v>2</v>
      </c>
      <c r="P15" t="s">
        <v>18</v>
      </c>
    </row>
    <row r="16" spans="1:16" x14ac:dyDescent="0.35">
      <c r="A16" s="5" t="s">
        <v>84</v>
      </c>
      <c r="B16" s="5" t="s">
        <v>104</v>
      </c>
      <c r="C16" s="6">
        <v>46155.977106101607</v>
      </c>
      <c r="D16" s="5" t="s">
        <v>39</v>
      </c>
      <c r="E16" s="5" t="s">
        <v>84</v>
      </c>
      <c r="F16" s="5">
        <v>3831594</v>
      </c>
      <c r="G16" s="5">
        <v>10032147</v>
      </c>
      <c r="H16" s="7">
        <v>46155.977106101607</v>
      </c>
      <c r="I16" s="5" t="s">
        <v>19</v>
      </c>
      <c r="J16" s="5" t="s">
        <v>21</v>
      </c>
      <c r="K16" s="5">
        <v>1045</v>
      </c>
      <c r="L16" s="5" t="s">
        <v>22</v>
      </c>
      <c r="M16" s="5" t="s">
        <v>24</v>
      </c>
      <c r="N16" s="5">
        <v>2</v>
      </c>
      <c r="O16" s="5">
        <v>2</v>
      </c>
      <c r="P16" s="5" t="s">
        <v>18</v>
      </c>
    </row>
    <row r="17" spans="1:16" x14ac:dyDescent="0.35">
      <c r="A17" t="s">
        <v>86</v>
      </c>
      <c r="B17" t="s">
        <v>85</v>
      </c>
      <c r="C17" s="3">
        <v>46155.929994857972</v>
      </c>
      <c r="D17" t="s">
        <v>40</v>
      </c>
      <c r="E17" t="s">
        <v>86</v>
      </c>
      <c r="F17">
        <v>3848450</v>
      </c>
      <c r="G17">
        <v>10038626</v>
      </c>
      <c r="H17" s="2">
        <v>46155.929994857972</v>
      </c>
      <c r="I17" t="s">
        <v>20</v>
      </c>
      <c r="J17" t="s">
        <v>21</v>
      </c>
      <c r="K17">
        <v>4887</v>
      </c>
      <c r="L17" t="s">
        <v>22</v>
      </c>
      <c r="M17" t="s">
        <v>24</v>
      </c>
      <c r="N17">
        <v>2</v>
      </c>
      <c r="O17">
        <v>2</v>
      </c>
      <c r="P17" t="s">
        <v>18</v>
      </c>
    </row>
    <row r="18" spans="1:16" x14ac:dyDescent="0.35">
      <c r="A18" s="5" t="s">
        <v>88</v>
      </c>
      <c r="B18" s="5" t="s">
        <v>87</v>
      </c>
      <c r="C18" s="6">
        <v>46155.193780655936</v>
      </c>
      <c r="D18" s="5" t="s">
        <v>41</v>
      </c>
      <c r="E18" s="5" t="s">
        <v>88</v>
      </c>
      <c r="F18" s="5">
        <v>3849458</v>
      </c>
      <c r="G18" s="5">
        <v>10026194</v>
      </c>
      <c r="H18" s="7">
        <v>46155.193780655936</v>
      </c>
      <c r="I18" s="5" t="s">
        <v>20</v>
      </c>
      <c r="J18" s="5" t="s">
        <v>21</v>
      </c>
      <c r="K18" s="5">
        <v>1779</v>
      </c>
      <c r="L18" s="5" t="s">
        <v>22</v>
      </c>
      <c r="M18" s="5" t="s">
        <v>24</v>
      </c>
      <c r="N18" s="5">
        <v>2</v>
      </c>
      <c r="O18" s="5">
        <v>2</v>
      </c>
      <c r="P18" s="5" t="s">
        <v>18</v>
      </c>
    </row>
    <row r="19" spans="1:16" x14ac:dyDescent="0.35">
      <c r="A19" t="s">
        <v>90</v>
      </c>
      <c r="B19" t="s">
        <v>89</v>
      </c>
      <c r="C19" s="3">
        <v>46155.674751159095</v>
      </c>
      <c r="D19" t="s">
        <v>42</v>
      </c>
      <c r="E19" t="s">
        <v>90</v>
      </c>
      <c r="F19">
        <v>3857825</v>
      </c>
      <c r="G19">
        <v>10097870</v>
      </c>
      <c r="H19" s="2">
        <v>46155.674751159095</v>
      </c>
      <c r="I19" t="s">
        <v>20</v>
      </c>
      <c r="J19" t="s">
        <v>21</v>
      </c>
      <c r="K19">
        <v>3475</v>
      </c>
      <c r="L19" t="s">
        <v>22</v>
      </c>
      <c r="M19" t="s">
        <v>24</v>
      </c>
      <c r="N19">
        <v>2</v>
      </c>
      <c r="O19">
        <v>2</v>
      </c>
      <c r="P19" t="s">
        <v>18</v>
      </c>
    </row>
    <row r="20" spans="1:16" x14ac:dyDescent="0.35">
      <c r="A20" s="5" t="s">
        <v>92</v>
      </c>
      <c r="B20" s="5" t="s">
        <v>91</v>
      </c>
      <c r="C20" s="6">
        <v>46156.593621000109</v>
      </c>
      <c r="D20" s="5" t="s">
        <v>43</v>
      </c>
      <c r="E20" s="5" t="s">
        <v>92</v>
      </c>
      <c r="F20" s="5">
        <v>3858569</v>
      </c>
      <c r="G20" s="5">
        <v>10034324</v>
      </c>
      <c r="H20" s="7">
        <v>46156.593621000109</v>
      </c>
      <c r="I20" s="5" t="s">
        <v>20</v>
      </c>
      <c r="J20" s="5" t="s">
        <v>21</v>
      </c>
      <c r="K20" s="5">
        <v>1666</v>
      </c>
      <c r="L20" s="5" t="s">
        <v>22</v>
      </c>
      <c r="M20" s="5" t="s">
        <v>24</v>
      </c>
      <c r="N20" s="5">
        <v>2</v>
      </c>
      <c r="O20" s="5">
        <v>2</v>
      </c>
      <c r="P20" s="5" t="s">
        <v>18</v>
      </c>
    </row>
    <row r="21" spans="1:16" x14ac:dyDescent="0.35">
      <c r="A21" t="s">
        <v>94</v>
      </c>
      <c r="B21" t="s">
        <v>93</v>
      </c>
      <c r="C21" s="3">
        <v>46156.588251998743</v>
      </c>
      <c r="D21" t="s">
        <v>44</v>
      </c>
      <c r="E21" t="s">
        <v>94</v>
      </c>
      <c r="F21">
        <v>3836030</v>
      </c>
      <c r="G21">
        <v>10045010</v>
      </c>
      <c r="H21" s="2">
        <v>46156.588251998743</v>
      </c>
      <c r="I21" t="s">
        <v>20</v>
      </c>
      <c r="J21" t="s">
        <v>21</v>
      </c>
      <c r="K21">
        <v>4271</v>
      </c>
      <c r="L21" t="s">
        <v>22</v>
      </c>
      <c r="M21" t="s">
        <v>24</v>
      </c>
      <c r="N21">
        <v>2</v>
      </c>
      <c r="O21">
        <v>2</v>
      </c>
      <c r="P21" t="s">
        <v>18</v>
      </c>
    </row>
    <row r="22" spans="1:16" x14ac:dyDescent="0.35">
      <c r="A22" s="5" t="s">
        <v>96</v>
      </c>
      <c r="B22" s="5" t="s">
        <v>95</v>
      </c>
      <c r="C22" s="6">
        <v>46156.270002889971</v>
      </c>
      <c r="D22" s="5" t="s">
        <v>45</v>
      </c>
      <c r="E22" s="5" t="s">
        <v>96</v>
      </c>
      <c r="F22" s="5">
        <v>3848135</v>
      </c>
      <c r="G22" s="5">
        <v>10048299</v>
      </c>
      <c r="H22" s="7">
        <v>46156.270002889971</v>
      </c>
      <c r="I22" s="5" t="s">
        <v>20</v>
      </c>
      <c r="J22" s="5" t="s">
        <v>21</v>
      </c>
      <c r="K22" s="5">
        <v>3084</v>
      </c>
      <c r="L22" s="5" t="s">
        <v>22</v>
      </c>
      <c r="M22" s="5" t="s">
        <v>24</v>
      </c>
      <c r="N22" s="5">
        <v>2</v>
      </c>
      <c r="O22" s="5">
        <v>2</v>
      </c>
      <c r="P22" s="5" t="s">
        <v>18</v>
      </c>
    </row>
    <row r="23" spans="1:16" x14ac:dyDescent="0.35">
      <c r="A23" t="s">
        <v>98</v>
      </c>
      <c r="B23" t="s">
        <v>97</v>
      </c>
      <c r="C23" s="3">
        <v>46156.641549122352</v>
      </c>
      <c r="D23" t="s">
        <v>46</v>
      </c>
      <c r="E23" t="s">
        <v>98</v>
      </c>
      <c r="F23">
        <v>3857787</v>
      </c>
      <c r="G23">
        <v>10067132</v>
      </c>
      <c r="H23" s="2">
        <v>46156.641549122352</v>
      </c>
      <c r="I23" t="s">
        <v>20</v>
      </c>
      <c r="J23" t="s">
        <v>21</v>
      </c>
      <c r="K23">
        <v>1824</v>
      </c>
      <c r="L23" t="s">
        <v>22</v>
      </c>
      <c r="M23" t="s">
        <v>24</v>
      </c>
      <c r="N23">
        <v>2</v>
      </c>
      <c r="O23">
        <v>2</v>
      </c>
      <c r="P23" t="s">
        <v>18</v>
      </c>
    </row>
    <row r="24" spans="1:16" x14ac:dyDescent="0.35">
      <c r="A24" s="5" t="s">
        <v>100</v>
      </c>
      <c r="B24" s="5" t="s">
        <v>99</v>
      </c>
      <c r="C24" s="6">
        <v>46156.60741813881</v>
      </c>
      <c r="D24" s="5" t="s">
        <v>47</v>
      </c>
      <c r="E24" s="5" t="s">
        <v>100</v>
      </c>
      <c r="F24" s="5">
        <v>3846464</v>
      </c>
      <c r="G24" s="5">
        <v>10094263</v>
      </c>
      <c r="H24" s="7">
        <v>46156.60741813881</v>
      </c>
      <c r="I24" s="5" t="s">
        <v>20</v>
      </c>
      <c r="J24" s="5" t="s">
        <v>21</v>
      </c>
      <c r="K24" s="5">
        <v>3600</v>
      </c>
      <c r="L24" s="5" t="s">
        <v>22</v>
      </c>
      <c r="M24" s="5" t="s">
        <v>24</v>
      </c>
      <c r="N24" s="5">
        <v>2</v>
      </c>
      <c r="O24" s="5">
        <v>2</v>
      </c>
      <c r="P24" s="5" t="s">
        <v>18</v>
      </c>
    </row>
    <row r="25" spans="1:16" x14ac:dyDescent="0.35">
      <c r="A25" t="s">
        <v>102</v>
      </c>
      <c r="B25" t="s">
        <v>101</v>
      </c>
      <c r="C25" s="3">
        <v>46156.040004517054</v>
      </c>
      <c r="D25" t="s">
        <v>48</v>
      </c>
      <c r="E25" t="s">
        <v>102</v>
      </c>
      <c r="F25">
        <v>3838368</v>
      </c>
      <c r="G25">
        <v>10085416</v>
      </c>
      <c r="H25" s="2">
        <v>46156.040004517054</v>
      </c>
      <c r="I25" t="s">
        <v>20</v>
      </c>
      <c r="J25" t="s">
        <v>21</v>
      </c>
      <c r="K25">
        <v>1584</v>
      </c>
      <c r="L25" t="s">
        <v>22</v>
      </c>
      <c r="M25" t="s">
        <v>24</v>
      </c>
      <c r="N25">
        <v>2</v>
      </c>
      <c r="O25">
        <v>2</v>
      </c>
      <c r="P25" t="s">
        <v>18</v>
      </c>
    </row>
    <row r="26" spans="1:16" x14ac:dyDescent="0.35">
      <c r="A26" s="5" t="s">
        <v>106</v>
      </c>
      <c r="B26" s="5" t="s">
        <v>105</v>
      </c>
      <c r="C26" s="6">
        <v>46156.068187147866</v>
      </c>
      <c r="D26" s="5" t="s">
        <v>49</v>
      </c>
      <c r="E26" s="5" t="s">
        <v>106</v>
      </c>
      <c r="F26" s="5">
        <v>3834111</v>
      </c>
      <c r="G26" s="5">
        <v>10068784</v>
      </c>
      <c r="H26" s="7">
        <v>46156.068187147866</v>
      </c>
      <c r="I26" s="5" t="s">
        <v>20</v>
      </c>
      <c r="J26" s="5" t="s">
        <v>21</v>
      </c>
      <c r="K26" s="5">
        <v>444</v>
      </c>
      <c r="L26" s="5" t="s">
        <v>22</v>
      </c>
      <c r="M26" s="5" t="s">
        <v>24</v>
      </c>
      <c r="N26" s="5">
        <v>2</v>
      </c>
      <c r="O26" s="5">
        <v>2</v>
      </c>
      <c r="P26" s="5" t="s">
        <v>18</v>
      </c>
    </row>
    <row r="27" spans="1:16" x14ac:dyDescent="0.35">
      <c r="A27" t="s">
        <v>108</v>
      </c>
      <c r="B27" t="s">
        <v>107</v>
      </c>
      <c r="C27" s="3">
        <v>46156.712756022062</v>
      </c>
      <c r="D27" t="s">
        <v>50</v>
      </c>
      <c r="E27" t="s">
        <v>108</v>
      </c>
      <c r="F27">
        <v>3858097</v>
      </c>
      <c r="G27">
        <v>10059629</v>
      </c>
      <c r="H27" s="2">
        <v>46156.712756022062</v>
      </c>
      <c r="I27" t="s">
        <v>20</v>
      </c>
      <c r="J27" t="s">
        <v>21</v>
      </c>
      <c r="K27">
        <v>1781</v>
      </c>
      <c r="L27" t="s">
        <v>22</v>
      </c>
      <c r="M27" t="s">
        <v>24</v>
      </c>
      <c r="N27">
        <v>2</v>
      </c>
      <c r="O27">
        <v>2</v>
      </c>
      <c r="P27" t="s">
        <v>18</v>
      </c>
    </row>
    <row r="28" spans="1:16" x14ac:dyDescent="0.35">
      <c r="A28" s="5" t="s">
        <v>110</v>
      </c>
      <c r="B28" s="5" t="s">
        <v>109</v>
      </c>
      <c r="C28" s="6">
        <v>46156.475696942121</v>
      </c>
      <c r="D28" s="5" t="s">
        <v>51</v>
      </c>
      <c r="E28" s="5" t="s">
        <v>110</v>
      </c>
      <c r="F28" s="5">
        <v>3856977</v>
      </c>
      <c r="G28" s="5">
        <v>10042859</v>
      </c>
      <c r="H28" s="7">
        <v>46156.475696942121</v>
      </c>
      <c r="I28" s="5" t="s">
        <v>20</v>
      </c>
      <c r="J28" s="5" t="s">
        <v>21</v>
      </c>
      <c r="K28" s="5">
        <v>1648</v>
      </c>
      <c r="L28" s="5" t="s">
        <v>22</v>
      </c>
      <c r="M28" s="5" t="s">
        <v>24</v>
      </c>
      <c r="N28" s="5">
        <v>2</v>
      </c>
      <c r="O28" s="5">
        <v>2</v>
      </c>
      <c r="P28" s="5" t="s">
        <v>18</v>
      </c>
    </row>
    <row r="29" spans="1:16" x14ac:dyDescent="0.35">
      <c r="A29" t="s">
        <v>112</v>
      </c>
      <c r="B29" t="s">
        <v>111</v>
      </c>
      <c r="C29" s="3">
        <v>46156.243263256096</v>
      </c>
      <c r="D29" t="s">
        <v>52</v>
      </c>
      <c r="E29" t="s">
        <v>112</v>
      </c>
      <c r="F29">
        <v>3840195</v>
      </c>
      <c r="G29">
        <v>10061344</v>
      </c>
      <c r="H29" s="2">
        <v>46156.243263256096</v>
      </c>
      <c r="I29" t="s">
        <v>20</v>
      </c>
      <c r="J29" t="s">
        <v>21</v>
      </c>
      <c r="K29">
        <v>4565</v>
      </c>
      <c r="L29" t="s">
        <v>22</v>
      </c>
      <c r="M29" t="s">
        <v>24</v>
      </c>
      <c r="N29">
        <v>2</v>
      </c>
      <c r="O29">
        <v>2</v>
      </c>
      <c r="P29" t="s">
        <v>18</v>
      </c>
    </row>
    <row r="30" spans="1:16" x14ac:dyDescent="0.35">
      <c r="A30" s="5" t="s">
        <v>114</v>
      </c>
      <c r="B30" s="5" t="s">
        <v>113</v>
      </c>
      <c r="C30" s="6">
        <v>46156.603455854791</v>
      </c>
      <c r="D30" s="5" t="s">
        <v>53</v>
      </c>
      <c r="E30" s="5" t="s">
        <v>114</v>
      </c>
      <c r="F30" s="5">
        <v>3849323</v>
      </c>
      <c r="G30" s="5">
        <v>10023142</v>
      </c>
      <c r="H30" s="7">
        <v>46156.603455854791</v>
      </c>
      <c r="I30" s="5" t="s">
        <v>20</v>
      </c>
      <c r="J30" s="5" t="s">
        <v>21</v>
      </c>
      <c r="K30" s="5">
        <v>4046</v>
      </c>
      <c r="L30" s="5" t="s">
        <v>22</v>
      </c>
      <c r="M30" s="5" t="s">
        <v>24</v>
      </c>
      <c r="N30" s="5">
        <v>2</v>
      </c>
      <c r="O30" s="5">
        <v>2</v>
      </c>
      <c r="P30" s="5" t="s">
        <v>18</v>
      </c>
    </row>
    <row r="31" spans="1:16" x14ac:dyDescent="0.35">
      <c r="A31" t="s">
        <v>116</v>
      </c>
      <c r="B31" t="s">
        <v>115</v>
      </c>
      <c r="C31" s="3">
        <v>46156.599933458652</v>
      </c>
      <c r="D31" t="s">
        <v>54</v>
      </c>
      <c r="E31" t="s">
        <v>116</v>
      </c>
      <c r="F31">
        <v>3851999</v>
      </c>
      <c r="G31">
        <v>10012421</v>
      </c>
      <c r="H31" s="2">
        <v>46156.599933458652</v>
      </c>
      <c r="I31" t="s">
        <v>20</v>
      </c>
      <c r="J31" t="s">
        <v>21</v>
      </c>
      <c r="K31">
        <v>939</v>
      </c>
      <c r="L31" t="s">
        <v>22</v>
      </c>
      <c r="M31" t="s">
        <v>24</v>
      </c>
      <c r="N31">
        <v>2</v>
      </c>
      <c r="O31">
        <v>2</v>
      </c>
      <c r="P31" t="s">
        <v>18</v>
      </c>
    </row>
    <row r="32" spans="1:16" x14ac:dyDescent="0.35">
      <c r="A32" s="5" t="s">
        <v>118</v>
      </c>
      <c r="B32" s="5" t="s">
        <v>117</v>
      </c>
      <c r="C32" s="6">
        <v>46156.29098493007</v>
      </c>
      <c r="D32" s="5" t="s">
        <v>55</v>
      </c>
      <c r="E32" s="5" t="s">
        <v>118</v>
      </c>
      <c r="F32" s="5">
        <v>3832336</v>
      </c>
      <c r="G32" s="5">
        <v>10023316</v>
      </c>
      <c r="H32" s="7">
        <v>46156.29098493007</v>
      </c>
      <c r="I32" s="5" t="s">
        <v>20</v>
      </c>
      <c r="J32" s="5" t="s">
        <v>21</v>
      </c>
      <c r="K32" s="5">
        <v>2153</v>
      </c>
      <c r="L32" s="5" t="s">
        <v>22</v>
      </c>
      <c r="M32" s="5" t="s">
        <v>24</v>
      </c>
      <c r="N32" s="5">
        <v>2</v>
      </c>
      <c r="O32" s="5">
        <v>2</v>
      </c>
      <c r="P32" s="5" t="s">
        <v>18</v>
      </c>
    </row>
    <row r="33" spans="1:16" x14ac:dyDescent="0.35">
      <c r="A33" t="s">
        <v>120</v>
      </c>
      <c r="B33" t="s">
        <v>119</v>
      </c>
      <c r="C33" s="3">
        <v>46156.957455538955</v>
      </c>
      <c r="D33" t="s">
        <v>56</v>
      </c>
      <c r="E33" t="s">
        <v>120</v>
      </c>
      <c r="F33">
        <v>3850770</v>
      </c>
      <c r="G33">
        <v>10039882</v>
      </c>
      <c r="H33" s="2">
        <v>46156.957455538955</v>
      </c>
      <c r="I33" t="s">
        <v>20</v>
      </c>
      <c r="J33" t="s">
        <v>21</v>
      </c>
      <c r="K33">
        <v>222</v>
      </c>
      <c r="L33" t="s">
        <v>22</v>
      </c>
      <c r="M33" t="s">
        <v>24</v>
      </c>
      <c r="N33">
        <v>2</v>
      </c>
      <c r="O33">
        <v>2</v>
      </c>
      <c r="P33" t="s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Assigned earlier</vt:lpstr>
      <vt:lpstr>Report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shreyansh arya</dc:creator>
  <cp:lastModifiedBy>shreyansh arya</cp:lastModifiedBy>
  <dcterms:created xsi:type="dcterms:W3CDTF">2015-06-05T18:17:20Z</dcterms:created>
  <dcterms:modified xsi:type="dcterms:W3CDTF">2026-05-14T23:07:47Z</dcterms:modified>
</cp:coreProperties>
</file>